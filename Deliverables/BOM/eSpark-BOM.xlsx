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ezlo-thermostat\Deliverables\BOM\"/>
    </mc:Choice>
  </mc:AlternateContent>
  <bookViews>
    <workbookView xWindow="-120" yWindow="-120" windowWidth="29040" windowHeight="15840" activeTab="1"/>
  </bookViews>
  <sheets>
    <sheet name="10 Boards" sheetId="1" r:id="rId1"/>
    <sheet name="1000 Boards" sheetId="2" r:id="rId2"/>
  </sheets>
  <calcPr calcId="162913"/>
</workbook>
</file>

<file path=xl/calcChain.xml><?xml version="1.0" encoding="utf-8"?>
<calcChain xmlns="http://schemas.openxmlformats.org/spreadsheetml/2006/main">
  <c r="M22" i="2" l="1"/>
  <c r="M19" i="2"/>
  <c r="Q22" i="2"/>
  <c r="B22" i="2"/>
  <c r="Q19" i="2"/>
  <c r="B19" i="2"/>
  <c r="M21" i="1"/>
  <c r="M18" i="1"/>
  <c r="Q21" i="1" l="1"/>
  <c r="B21" i="1"/>
  <c r="Q18" i="1"/>
  <c r="B18" i="1"/>
  <c r="M11" i="2" l="1"/>
  <c r="M12" i="2"/>
  <c r="M13" i="2"/>
  <c r="M14" i="2"/>
  <c r="M15" i="2"/>
  <c r="M16" i="2"/>
  <c r="M17" i="2"/>
  <c r="M18" i="2"/>
  <c r="M20" i="2"/>
  <c r="M21" i="2"/>
  <c r="M23" i="2"/>
  <c r="M10" i="2"/>
  <c r="Q23" i="2"/>
  <c r="B23" i="2"/>
  <c r="Q21" i="2"/>
  <c r="B21" i="2"/>
  <c r="Q20" i="2"/>
  <c r="B20" i="2"/>
  <c r="Q18" i="2"/>
  <c r="B18" i="2"/>
  <c r="Q17" i="2"/>
  <c r="B17" i="2"/>
  <c r="Q16" i="2"/>
  <c r="B16" i="2"/>
  <c r="Q15" i="2"/>
  <c r="B15" i="2"/>
  <c r="Q14" i="2"/>
  <c r="B14" i="2"/>
  <c r="Q13" i="2"/>
  <c r="B13" i="2"/>
  <c r="Q12" i="2"/>
  <c r="B12" i="2"/>
  <c r="Q11" i="2"/>
  <c r="B11" i="2"/>
  <c r="Q10" i="2"/>
  <c r="B10" i="2"/>
  <c r="M11" i="1"/>
  <c r="M12" i="1"/>
  <c r="M13" i="1"/>
  <c r="M14" i="1"/>
  <c r="M15" i="1"/>
  <c r="M16" i="1"/>
  <c r="M17" i="1"/>
  <c r="M19" i="1"/>
  <c r="M20" i="1"/>
  <c r="M22" i="1"/>
  <c r="M10" i="1"/>
  <c r="Q24" i="2" l="1"/>
  <c r="Q25" i="2" s="1"/>
  <c r="Q22" i="1"/>
  <c r="B22" i="1"/>
  <c r="Q20" i="1"/>
  <c r="B20" i="1"/>
  <c r="Q19" i="1"/>
  <c r="B19" i="1"/>
  <c r="Q17" i="1"/>
  <c r="B17" i="1"/>
  <c r="Q16" i="1"/>
  <c r="B16" i="1"/>
  <c r="Q15" i="1"/>
  <c r="B15" i="1"/>
  <c r="Q14" i="1"/>
  <c r="B14" i="1"/>
  <c r="Q13" i="1"/>
  <c r="B13" i="1"/>
  <c r="Q12" i="1"/>
  <c r="B12" i="1"/>
  <c r="Q11" i="1"/>
  <c r="Q10" i="1"/>
  <c r="B11" i="1"/>
  <c r="B10" i="1"/>
  <c r="Q23" i="1" l="1"/>
  <c r="Q24" i="1" s="1"/>
</calcChain>
</file>

<file path=xl/sharedStrings.xml><?xml version="1.0" encoding="utf-8"?>
<sst xmlns="http://schemas.openxmlformats.org/spreadsheetml/2006/main" count="302" uniqueCount="118">
  <si>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</si>
  <si>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</si>
  <si>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</si>
  <si>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</si>
  <si>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</si>
  <si>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</si>
  <si>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</si>
  <si>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</si>
  <si>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</si>
  <si>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</si>
  <si>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Ferrite Bead</t>
  </si>
  <si>
    <t>FPC Connector</t>
  </si>
  <si>
    <t>Resistor</t>
  </si>
  <si>
    <t>IC</t>
  </si>
  <si>
    <t>Crystal</t>
  </si>
  <si>
    <t>Designator</t>
  </si>
  <si>
    <t>C1, C2, C4, C6, C8, C9, C10, C17</t>
  </si>
  <si>
    <t>C3</t>
  </si>
  <si>
    <t>C5, C11</t>
  </si>
  <si>
    <t>C7</t>
  </si>
  <si>
    <t>C12, C14, C15</t>
  </si>
  <si>
    <t>C13</t>
  </si>
  <si>
    <t>C16</t>
  </si>
  <si>
    <t>FB1, FB2, FB3, FB4, FB5, FB6, FB7</t>
  </si>
  <si>
    <t>J1</t>
  </si>
  <si>
    <t>R1</t>
  </si>
  <si>
    <t>U1</t>
  </si>
  <si>
    <t>X1</t>
  </si>
  <si>
    <t>Description</t>
  </si>
  <si>
    <t>CAP CER 1UF 10V X5R 0402</t>
  </si>
  <si>
    <t>CAP CER 10000PF 25V X7R 0402</t>
  </si>
  <si>
    <t>CAP CER 22UF 10V X5R 0603</t>
  </si>
  <si>
    <t>CAP CER 10UF 10V X5R 0603</t>
  </si>
  <si>
    <t>CAP CER 10UF 10V X5R 0402</t>
  </si>
  <si>
    <t>CAP CER 0.47UF 50V X5R 0402</t>
  </si>
  <si>
    <t>CAP CER 0.1UF 50V X7R 0402</t>
  </si>
  <si>
    <t>FERRITE BEAD 120 OHM 0402 1LN</t>
  </si>
  <si>
    <t>Clamshell 10 Bottom Contact Surface Mount 0.5mm SMD,P=0.5mm FFC/FPC Connectors ROHS</t>
  </si>
  <si>
    <t>RES SMD 150 OHM 5% 1/10W 0402</t>
  </si>
  <si>
    <t>Rf Transceiver PG-VF2BGA-40</t>
  </si>
  <si>
    <t>XTAL OSC XO 80.0000MHZ CMOS SMD</t>
  </si>
  <si>
    <t>Footprint</t>
  </si>
  <si>
    <t>Cap-0402</t>
  </si>
  <si>
    <t>Cap-0603</t>
  </si>
  <si>
    <t>IND-0402</t>
  </si>
  <si>
    <t>AFC01-S10FCC-00</t>
  </si>
  <si>
    <t>Res-0402</t>
  </si>
  <si>
    <t>pg-vf2bga-40</t>
  </si>
  <si>
    <t>Manufacturer Part Number</t>
  </si>
  <si>
    <t>CC0402KRX5R6BB105</t>
  </si>
  <si>
    <t>CC0402KRX7R8BB103</t>
  </si>
  <si>
    <t>CC0603MRX5R6BB226</t>
  </si>
  <si>
    <t>CC0603KRX5R6BB106</t>
  </si>
  <si>
    <t>CL05A106MP5NUNC</t>
  </si>
  <si>
    <t>UMK105ABJ474KV-F</t>
  </si>
  <si>
    <t>CL05B104KB54PNC</t>
  </si>
  <si>
    <t>BLM15PD121SN1D</t>
  </si>
  <si>
    <t>ERJ-2GEJ151X</t>
  </si>
  <si>
    <t>BGT60TR13CE6327XUMA1</t>
  </si>
  <si>
    <t>KC2016K80.0000C1GE00</t>
  </si>
  <si>
    <t>Manufacturer</t>
  </si>
  <si>
    <t>Yageo</t>
  </si>
  <si>
    <t>Samsung</t>
  </si>
  <si>
    <t>Taiyo Yuden</t>
  </si>
  <si>
    <t>Murata</t>
  </si>
  <si>
    <t>JUSHUO</t>
  </si>
  <si>
    <t>Panasonic</t>
  </si>
  <si>
    <t>Infineon</t>
  </si>
  <si>
    <t>Kyocera AVX</t>
  </si>
  <si>
    <t>LCSC Part Number</t>
  </si>
  <si>
    <t>C106254</t>
  </si>
  <si>
    <t>C327025</t>
  </si>
  <si>
    <t>C109447</t>
  </si>
  <si>
    <t>C326057</t>
  </si>
  <si>
    <t>C315248</t>
  </si>
  <si>
    <t>C386109</t>
  </si>
  <si>
    <t>C307331</t>
  </si>
  <si>
    <t>C76891</t>
  </si>
  <si>
    <t>C262266</t>
  </si>
  <si>
    <t>C412976</t>
  </si>
  <si>
    <t>1uF</t>
  </si>
  <si>
    <t>10nF</t>
  </si>
  <si>
    <t>22uF</t>
  </si>
  <si>
    <t>10uF</t>
  </si>
  <si>
    <t>0.47uF</t>
  </si>
  <si>
    <t>0.1uF</t>
  </si>
  <si>
    <t>100MHz</t>
  </si>
  <si>
    <t>150R</t>
  </si>
  <si>
    <t>80MHz</t>
  </si>
  <si>
    <t>Quantity</t>
  </si>
  <si>
    <t>Alternate Part Number</t>
  </si>
  <si>
    <t>Value</t>
  </si>
  <si>
    <t>Quantity (10 Boards)</t>
  </si>
  <si>
    <t>MOQ (10 Boards)</t>
  </si>
  <si>
    <t>Links</t>
  </si>
  <si>
    <t>Unit Cost (10 Boards)</t>
  </si>
  <si>
    <t>Total Cost (10 Boards)</t>
  </si>
  <si>
    <t>Remarks</t>
  </si>
  <si>
    <t>Reviewer Remarks</t>
  </si>
  <si>
    <t>-</t>
  </si>
  <si>
    <t>Ezlo-Radar-Sensor</t>
  </si>
  <si>
    <t>Custom</t>
  </si>
  <si>
    <t>LCSC</t>
  </si>
  <si>
    <t>Quantity (1000 Boards)</t>
  </si>
  <si>
    <t>MOQ (1000 Boards)</t>
  </si>
  <si>
    <t>Unit Cost (1000 Boards)</t>
  </si>
  <si>
    <t>Total Cost (1000 Boards)</t>
  </si>
  <si>
    <t>Bill of Materials for Project [Ezlo-Radar-Sensor]</t>
  </si>
  <si>
    <t>C7, C12, C14, C15</t>
  </si>
  <si>
    <t>MICROPHONE</t>
  </si>
  <si>
    <t>Mk1</t>
  </si>
  <si>
    <t>Mic Omni-Directional -26dB 3.63V Rectangular Solder Pad T/R</t>
  </si>
  <si>
    <t>ICS-43434</t>
  </si>
  <si>
    <t>TDK InvenSense</t>
  </si>
  <si>
    <t>U2</t>
  </si>
  <si>
    <t>Integrated Gesture Recognition Sensor with I2C Interface</t>
  </si>
  <si>
    <t>PAJ7620U2</t>
  </si>
  <si>
    <t>PixART Imaging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</si>
</sst>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4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10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5" fontId="18" fillId="2" borderId="5" xfId="0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7" fillId="4" borderId="20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2" fillId="2" borderId="16" xfId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1" fillId="4" borderId="17" xfId="0" applyFont="1" applyFill="1" applyBorder="1" applyAlignment="1">
      <alignment horizontal="center" vertical="center"/>
    </xf>
    <xf numFmtId="166" fontId="15" fillId="3" borderId="21" xfId="0" quotePrefix="1" applyNumberFormat="1" applyFont="1" applyFill="1" applyBorder="1" applyAlignment="1">
      <alignment horizontal="center" vertical="center" wrapText="1"/>
    </xf>
    <xf numFmtId="0" fontId="11" fillId="4" borderId="19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22" fillId="2" borderId="17" xfId="1" applyFill="1" applyBorder="1" applyAlignment="1">
      <alignment horizontal="center" vertical="center" wrapText="1"/>
    </xf>
    <xf numFmtId="165" fontId="18" fillId="2" borderId="6" xfId="0" applyNumberFormat="1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14" xfId="0" applyFont="1" applyFill="1" applyBorder="1" applyAlignment="1" applyProtection="1">
      <alignment horizontal="center" vertical="top"/>
      <protection locked="0"/>
    </xf>
    <xf numFmtId="0" fontId="20" fillId="3" borderId="3" xfId="0" applyFont="1" applyFill="1" applyBorder="1" applyAlignment="1" applyProtection="1">
      <alignment horizontal="center" vertical="top"/>
      <protection locked="0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  <xf numFmtId="0" fontId="19" fillId="2" borderId="16" xfId="0" applyFont="1" applyFill="1" applyBorder="1" applyAlignment="1">
      <alignment horizontal="center"/>
    </xf>
    <xf numFmtId="0" fontId="21" fillId="2" borderId="6" xfId="0" applyFont="1" applyFill="1" applyBorder="1" applyAlignment="1">
      <alignment horizontal="center" vertical="center" wrapText="1"/>
    </xf>
    <xf numFmtId="0" fontId="21" fillId="2" borderId="22" xfId="0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165" fontId="18" fillId="2" borderId="22" xfId="0" applyNumberFormat="1" applyFont="1" applyFill="1" applyBorder="1" applyAlignment="1">
      <alignment horizontal="center" vertical="center" wrapText="1"/>
    </xf>
    <xf numFmtId="165" fontId="18" fillId="2" borderId="19" xfId="0" applyNumberFormat="1" applyFont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18" fillId="2" borderId="23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wrapText="1"/>
    </xf>
    <xf numFmtId="0" fontId="21" fillId="2" borderId="17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22" fillId="2" borderId="17" xfId="1" applyFill="1" applyBorder="1" applyAlignment="1">
      <alignment horizontal="center" vertical="center"/>
    </xf>
    <xf numFmtId="165" fontId="18" fillId="2" borderId="6" xfId="0" applyNumberFormat="1" applyFont="1" applyFill="1" applyBorder="1" applyAlignment="1">
      <alignment horizontal="center" vertical="center"/>
    </xf>
    <xf numFmtId="165" fontId="18" fillId="2" borderId="17" xfId="0" applyNumberFormat="1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1" fillId="2" borderId="22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165" fontId="18" fillId="2" borderId="22" xfId="0" applyNumberFormat="1" applyFont="1" applyFill="1" applyBorder="1" applyAlignment="1">
      <alignment horizontal="center" vertical="center"/>
    </xf>
    <xf numFmtId="165" fontId="18" fillId="2" borderId="19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841EDC-F584-47F9-A944-BF2EB058E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164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FFC-FPC-Connectors_JUSHUO-AFC01-S10FCC-00_C262266.html" TargetMode="External"/><Relationship Id="rId3" Type="http://schemas.openxmlformats.org/officeDocument/2006/relationships/hyperlink" Target="https://www.lcsc.com/product-detail/Multilayer-Ceramic-Capacitors-MLCC-SMD-SMT_YAGEO-CC0603MRX5R6BB226_C109447.html" TargetMode="External"/><Relationship Id="rId7" Type="http://schemas.openxmlformats.org/officeDocument/2006/relationships/hyperlink" Target="https://www.lcsc.com/product-detail/Ferrite-Beads_Murata-Electronics-BLM15PD121SN1D_C76891.html" TargetMode="External"/><Relationship Id="rId2" Type="http://schemas.openxmlformats.org/officeDocument/2006/relationships/hyperlink" Target="https://www.lcsc.com/product-detail/Multilayer-Ceramic-Capacitors-MLCC-SMD-SMT_YAGEO-CC0402KRX7R8BB103_C327025.html" TargetMode="External"/><Relationship Id="rId1" Type="http://schemas.openxmlformats.org/officeDocument/2006/relationships/hyperlink" Target="https://www.lcsc.com/product-detail/Multilayer-Ceramic-Capacitors-MLCC-SMD-SMT_YAGEO-CC0402KRX5R6BB105_C106254.html" TargetMode="External"/><Relationship Id="rId6" Type="http://schemas.openxmlformats.org/officeDocument/2006/relationships/hyperlink" Target="https://www.lcsc.com/product-detail/Multilayer-Ceramic-Capacitors-MLCC-SMD-SMT_Samsung-Electro-Mechanics-CL05B104KB54PNC_C307331.html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www.lcsc.com/product-detail/Multilayer-Ceramic-Capacitors-MLCC-SMD-SMT_Taiyo-Yuden-UMK105ABJ474KV-F_C386109.html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lcsc.com/product-detail/Multilayer-Ceramic-Capacitors-MLCC-SMD-SMT_Samsung-Electro-Mechanics-CL05A106MP5NUNC_C315248.html" TargetMode="External"/><Relationship Id="rId9" Type="http://schemas.openxmlformats.org/officeDocument/2006/relationships/hyperlink" Target="https://www.lcsc.com/product-detail/Chip-Resistor-Surface-Mount_PANASONIC-ERJ2GEJ151X_C412976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Ferrite-Beads_Murata-Electronics-BLM15PD121SN1D_C76891.html" TargetMode="External"/><Relationship Id="rId3" Type="http://schemas.openxmlformats.org/officeDocument/2006/relationships/hyperlink" Target="https://www.lcsc.com/product-detail/Multilayer-Ceramic-Capacitors-MLCC-SMD-SMT_YAGEO-CC0603MRX5R6BB226_C109447.html" TargetMode="External"/><Relationship Id="rId7" Type="http://schemas.openxmlformats.org/officeDocument/2006/relationships/hyperlink" Target="https://www.lcsc.com/product-detail/Multilayer-Ceramic-Capacitors-MLCC-SMD-SMT_Samsung-Electro-Mechanics-CL05B104KB54PNC_C307331.html" TargetMode="External"/><Relationship Id="rId2" Type="http://schemas.openxmlformats.org/officeDocument/2006/relationships/hyperlink" Target="https://www.lcsc.com/product-detail/Multilayer-Ceramic-Capacitors-MLCC-SMD-SMT_YAGEO-CC0402KRX7R8BB103_C327025.html" TargetMode="External"/><Relationship Id="rId1" Type="http://schemas.openxmlformats.org/officeDocument/2006/relationships/hyperlink" Target="https://www.lcsc.com/product-detail/Multilayer-Ceramic-Capacitors-MLCC-SMD-SMT_YAGEO-CC0402KRX5R6BB105_C106254.html" TargetMode="External"/><Relationship Id="rId6" Type="http://schemas.openxmlformats.org/officeDocument/2006/relationships/hyperlink" Target="https://www.lcsc.com/product-detail/Multilayer-Ceramic-Capacitors-MLCC-SMD-SMT_Taiyo-Yuden-UMK105ABJ474KV-F_C386109.html" TargetMode="External"/><Relationship Id="rId11" Type="http://schemas.openxmlformats.org/officeDocument/2006/relationships/drawing" Target="../drawings/drawing2.xml"/><Relationship Id="rId5" Type="http://schemas.openxmlformats.org/officeDocument/2006/relationships/hyperlink" Target="https://www.lcsc.com/product-detail/Multilayer-Ceramic-Capacitors-MLCC-SMD-SMT_Samsung-Electro-Mechanics-CL05A106MP5NUNC_C315248.html" TargetMode="External"/><Relationship Id="rId10" Type="http://schemas.openxmlformats.org/officeDocument/2006/relationships/hyperlink" Target="https://www.lcsc.com/product-detail/Chip-Resistor-Surface-Mount_PANASONIC-ERJ2GEJ151X_C412976.html" TargetMode="External"/><Relationship Id="rId4" Type="http://schemas.openxmlformats.org/officeDocument/2006/relationships/hyperlink" Target="https://www.lcsc.com/product-detail/Multilayer-Ceramic-Capacitors-MLCC-SMD-SMT_YAGEO-CC0603KRX5R6BB106_C326057.html" TargetMode="External"/><Relationship Id="rId9" Type="http://schemas.openxmlformats.org/officeDocument/2006/relationships/hyperlink" Target="https://www.lcsc.com/product-detail/FFC-FPC-Connectors_JUSHUO-AFC01-S10FCC-00_C26226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24"/>
  <sheetViews>
    <sheetView topLeftCell="A4" workbookViewId="0">
      <selection activeCell="A21" sqref="A21:XFD21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6.85546875" bestFit="1" customWidth="1"/>
    <col min="12" max="12" width="8.7109375" bestFit="1" customWidth="1"/>
    <col min="13" max="13" width="19.28515625" bestFit="1" customWidth="1"/>
    <col min="14" max="14" width="16.140625" bestFit="1" customWidth="1"/>
    <col min="15" max="15" width="5.42578125" bestFit="1" customWidth="1"/>
    <col min="16" max="16" width="19.7109375" bestFit="1" customWidth="1"/>
    <col min="17" max="17" width="20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1"/>
      <c r="L1" s="71"/>
      <c r="M1" s="71"/>
      <c r="N1" s="71"/>
      <c r="O1" s="71"/>
      <c r="P1" s="71"/>
      <c r="Q1" s="71"/>
      <c r="R1" s="71"/>
      <c r="S1" s="72"/>
    </row>
    <row r="2" spans="1:19" ht="32.25" thickBot="1" x14ac:dyDescent="0.3">
      <c r="A2" s="1"/>
      <c r="B2" s="21"/>
      <c r="C2" s="32"/>
      <c r="D2" s="11" t="s">
        <v>0</v>
      </c>
      <c r="E2" s="11"/>
      <c r="F2" s="51" t="s">
        <v>107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3"/>
      <c r="D3" s="13" t="s">
        <v>1</v>
      </c>
      <c r="E3" s="13"/>
      <c r="F3" s="52" t="s">
        <v>100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3"/>
    </row>
    <row r="4" spans="1:19" x14ac:dyDescent="0.25">
      <c r="A4" s="1"/>
      <c r="B4" s="22"/>
      <c r="C4" s="33"/>
      <c r="D4" s="13" t="s">
        <v>2</v>
      </c>
      <c r="E4" s="13"/>
      <c r="F4" s="53" t="s">
        <v>100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4"/>
    </row>
    <row r="5" spans="1:19" x14ac:dyDescent="0.25">
      <c r="A5" s="1"/>
      <c r="B5" s="22"/>
      <c r="C5" s="33"/>
      <c r="D5" s="13" t="s">
        <v>3</v>
      </c>
      <c r="E5" s="13"/>
      <c r="F5" s="54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4"/>
    </row>
    <row r="6" spans="1:19" x14ac:dyDescent="0.25">
      <c r="A6" s="1"/>
      <c r="B6" s="23"/>
      <c r="C6" s="34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4"/>
    </row>
    <row r="7" spans="1:19" x14ac:dyDescent="0.25">
      <c r="A7" s="1"/>
      <c r="B7" s="24"/>
      <c r="C7" s="35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4"/>
    </row>
    <row r="8" spans="1:19" ht="15.75" thickBot="1" x14ac:dyDescent="0.3">
      <c r="A8" s="1"/>
      <c r="B8" s="27"/>
      <c r="C8" s="36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4"/>
    </row>
    <row r="9" spans="1:19" ht="15.75" thickBot="1" x14ac:dyDescent="0.3">
      <c r="A9" s="1"/>
      <c r="B9" s="30" t="s">
        <v>4</v>
      </c>
      <c r="C9" s="30" t="s">
        <v>8</v>
      </c>
      <c r="D9" s="31" t="s">
        <v>15</v>
      </c>
      <c r="E9" s="30" t="s">
        <v>28</v>
      </c>
      <c r="F9" s="31" t="s">
        <v>41</v>
      </c>
      <c r="G9" s="30" t="s">
        <v>48</v>
      </c>
      <c r="H9" s="31" t="s">
        <v>60</v>
      </c>
      <c r="I9" s="30" t="s">
        <v>90</v>
      </c>
      <c r="J9" s="31" t="s">
        <v>69</v>
      </c>
      <c r="K9" s="55" t="s">
        <v>91</v>
      </c>
      <c r="L9" s="55" t="s">
        <v>89</v>
      </c>
      <c r="M9" s="30" t="s">
        <v>92</v>
      </c>
      <c r="N9" s="31" t="s">
        <v>93</v>
      </c>
      <c r="O9" s="30" t="s">
        <v>94</v>
      </c>
      <c r="P9" s="31" t="s">
        <v>95</v>
      </c>
      <c r="Q9" s="30" t="s">
        <v>96</v>
      </c>
      <c r="R9" s="30" t="s">
        <v>97</v>
      </c>
      <c r="S9" s="30" t="s">
        <v>98</v>
      </c>
    </row>
    <row r="10" spans="1:19" x14ac:dyDescent="0.25">
      <c r="A10" s="1"/>
      <c r="B10" s="47">
        <f>ROW(B10) - ROW($B$9)</f>
        <v>1</v>
      </c>
      <c r="C10" s="56" t="s">
        <v>9</v>
      </c>
      <c r="D10" s="38" t="s">
        <v>16</v>
      </c>
      <c r="E10" s="38" t="s">
        <v>29</v>
      </c>
      <c r="F10" s="39" t="s">
        <v>42</v>
      </c>
      <c r="G10" s="38" t="s">
        <v>49</v>
      </c>
      <c r="H10" s="39" t="s">
        <v>61</v>
      </c>
      <c r="I10" s="38" t="s">
        <v>99</v>
      </c>
      <c r="J10" s="39" t="s">
        <v>70</v>
      </c>
      <c r="K10" s="38" t="s">
        <v>80</v>
      </c>
      <c r="L10" s="39">
        <v>8</v>
      </c>
      <c r="M10" s="38">
        <f>L10*10</f>
        <v>80</v>
      </c>
      <c r="N10" s="39">
        <v>100</v>
      </c>
      <c r="O10" s="58" t="s">
        <v>102</v>
      </c>
      <c r="P10" s="49">
        <v>2E-3</v>
      </c>
      <c r="Q10" s="40">
        <f>P10*N10</f>
        <v>0.2</v>
      </c>
      <c r="R10" s="38"/>
      <c r="S10" s="83"/>
    </row>
    <row r="11" spans="1:19" x14ac:dyDescent="0.25">
      <c r="A11" s="1"/>
      <c r="B11" s="48">
        <f t="shared" ref="B11:B22" si="0">ROW(B11) - ROW($B$9)</f>
        <v>2</v>
      </c>
      <c r="C11" s="65" t="s">
        <v>9</v>
      </c>
      <c r="D11" s="66" t="s">
        <v>17</v>
      </c>
      <c r="E11" s="66" t="s">
        <v>30</v>
      </c>
      <c r="F11" s="67" t="s">
        <v>42</v>
      </c>
      <c r="G11" s="66" t="s">
        <v>50</v>
      </c>
      <c r="H11" s="67" t="s">
        <v>61</v>
      </c>
      <c r="I11" s="66" t="s">
        <v>99</v>
      </c>
      <c r="J11" s="67" t="s">
        <v>71</v>
      </c>
      <c r="K11" s="66" t="s">
        <v>81</v>
      </c>
      <c r="L11" s="67">
        <v>1</v>
      </c>
      <c r="M11" s="66">
        <f t="shared" ref="M11:M22" si="1">L11*10</f>
        <v>10</v>
      </c>
      <c r="N11" s="67">
        <v>100</v>
      </c>
      <c r="O11" s="68" t="s">
        <v>102</v>
      </c>
      <c r="P11" s="69">
        <v>1.1999999999999999E-3</v>
      </c>
      <c r="Q11" s="70">
        <f t="shared" ref="Q11" si="2">P11*N11</f>
        <v>0.12</v>
      </c>
      <c r="R11" s="66"/>
      <c r="S11" s="66"/>
    </row>
    <row r="12" spans="1:19" x14ac:dyDescent="0.25">
      <c r="A12" s="1"/>
      <c r="B12" s="47">
        <f>ROW(B12) - ROW($B$9)</f>
        <v>3</v>
      </c>
      <c r="C12" s="56" t="s">
        <v>9</v>
      </c>
      <c r="D12" s="38" t="s">
        <v>18</v>
      </c>
      <c r="E12" s="38" t="s">
        <v>31</v>
      </c>
      <c r="F12" s="39" t="s">
        <v>43</v>
      </c>
      <c r="G12" s="38" t="s">
        <v>51</v>
      </c>
      <c r="H12" s="39" t="s">
        <v>61</v>
      </c>
      <c r="I12" s="38" t="s">
        <v>99</v>
      </c>
      <c r="J12" s="39" t="s">
        <v>72</v>
      </c>
      <c r="K12" s="38" t="s">
        <v>82</v>
      </c>
      <c r="L12" s="39">
        <v>2</v>
      </c>
      <c r="M12" s="38">
        <f t="shared" si="1"/>
        <v>20</v>
      </c>
      <c r="N12" s="39">
        <v>40</v>
      </c>
      <c r="O12" s="58" t="s">
        <v>102</v>
      </c>
      <c r="P12" s="49">
        <v>4.19E-2</v>
      </c>
      <c r="Q12" s="40">
        <f>P12*N12</f>
        <v>1.6759999999999999</v>
      </c>
      <c r="R12" s="38"/>
      <c r="S12" s="38"/>
    </row>
    <row r="13" spans="1:19" x14ac:dyDescent="0.25">
      <c r="A13" s="1"/>
      <c r="B13" s="47">
        <f>ROW(B13) - ROW($B$9)</f>
        <v>4</v>
      </c>
      <c r="C13" s="56" t="s">
        <v>9</v>
      </c>
      <c r="D13" s="38" t="s">
        <v>108</v>
      </c>
      <c r="E13" s="38" t="s">
        <v>33</v>
      </c>
      <c r="F13" s="39" t="s">
        <v>42</v>
      </c>
      <c r="G13" s="38" t="s">
        <v>53</v>
      </c>
      <c r="H13" s="39" t="s">
        <v>62</v>
      </c>
      <c r="I13" s="38" t="s">
        <v>99</v>
      </c>
      <c r="J13" s="39" t="s">
        <v>74</v>
      </c>
      <c r="K13" s="38" t="s">
        <v>83</v>
      </c>
      <c r="L13" s="39">
        <v>4</v>
      </c>
      <c r="M13" s="38">
        <f t="shared" si="1"/>
        <v>40</v>
      </c>
      <c r="N13" s="39">
        <v>50</v>
      </c>
      <c r="O13" s="58" t="s">
        <v>102</v>
      </c>
      <c r="P13" s="49">
        <v>9.9000000000000008E-3</v>
      </c>
      <c r="Q13" s="40">
        <f>P13*N13</f>
        <v>0.49500000000000005</v>
      </c>
      <c r="R13" s="38"/>
      <c r="S13" s="38"/>
    </row>
    <row r="14" spans="1:19" x14ac:dyDescent="0.25">
      <c r="A14" s="1"/>
      <c r="B14" s="48">
        <f t="shared" si="0"/>
        <v>5</v>
      </c>
      <c r="C14" s="65" t="s">
        <v>9</v>
      </c>
      <c r="D14" s="66" t="s">
        <v>21</v>
      </c>
      <c r="E14" s="66" t="s">
        <v>34</v>
      </c>
      <c r="F14" s="67" t="s">
        <v>42</v>
      </c>
      <c r="G14" s="66" t="s">
        <v>54</v>
      </c>
      <c r="H14" s="67" t="s">
        <v>63</v>
      </c>
      <c r="I14" s="66" t="s">
        <v>99</v>
      </c>
      <c r="J14" s="67" t="s">
        <v>75</v>
      </c>
      <c r="K14" s="66" t="s">
        <v>84</v>
      </c>
      <c r="L14" s="67">
        <v>1</v>
      </c>
      <c r="M14" s="66">
        <f t="shared" si="1"/>
        <v>10</v>
      </c>
      <c r="N14" s="67">
        <v>20</v>
      </c>
      <c r="O14" s="68" t="s">
        <v>102</v>
      </c>
      <c r="P14" s="69">
        <v>2.5600000000000001E-2</v>
      </c>
      <c r="Q14" s="70">
        <f t="shared" ref="Q14" si="3">P14*N14</f>
        <v>0.51200000000000001</v>
      </c>
      <c r="R14" s="66"/>
      <c r="S14" s="66"/>
    </row>
    <row r="15" spans="1:19" x14ac:dyDescent="0.25">
      <c r="A15" s="1"/>
      <c r="B15" s="47">
        <f>ROW(B15) - ROW($B$9)</f>
        <v>6</v>
      </c>
      <c r="C15" s="56" t="s">
        <v>9</v>
      </c>
      <c r="D15" s="38" t="s">
        <v>22</v>
      </c>
      <c r="E15" s="38" t="s">
        <v>35</v>
      </c>
      <c r="F15" s="39" t="s">
        <v>42</v>
      </c>
      <c r="G15" s="38" t="s">
        <v>55</v>
      </c>
      <c r="H15" s="39" t="s">
        <v>62</v>
      </c>
      <c r="I15" s="38" t="s">
        <v>99</v>
      </c>
      <c r="J15" s="39" t="s">
        <v>76</v>
      </c>
      <c r="K15" s="38" t="s">
        <v>85</v>
      </c>
      <c r="L15" s="39">
        <v>1</v>
      </c>
      <c r="M15" s="38">
        <f t="shared" si="1"/>
        <v>10</v>
      </c>
      <c r="N15" s="39">
        <v>100</v>
      </c>
      <c r="O15" s="58" t="s">
        <v>102</v>
      </c>
      <c r="P15" s="49">
        <v>6.6E-3</v>
      </c>
      <c r="Q15" s="40">
        <f>P15*N15</f>
        <v>0.66</v>
      </c>
      <c r="R15" s="38"/>
      <c r="S15" s="38"/>
    </row>
    <row r="16" spans="1:19" x14ac:dyDescent="0.25">
      <c r="A16" s="1"/>
      <c r="B16" s="48">
        <f t="shared" si="0"/>
        <v>7</v>
      </c>
      <c r="C16" s="84" t="s">
        <v>10</v>
      </c>
      <c r="D16" s="66" t="s">
        <v>23</v>
      </c>
      <c r="E16" s="66" t="s">
        <v>36</v>
      </c>
      <c r="F16" s="67" t="s">
        <v>44</v>
      </c>
      <c r="G16" s="66" t="s">
        <v>56</v>
      </c>
      <c r="H16" s="67" t="s">
        <v>64</v>
      </c>
      <c r="I16" s="66" t="s">
        <v>99</v>
      </c>
      <c r="J16" s="67" t="s">
        <v>77</v>
      </c>
      <c r="K16" s="66" t="s">
        <v>86</v>
      </c>
      <c r="L16" s="67">
        <v>7</v>
      </c>
      <c r="M16" s="66">
        <f t="shared" si="1"/>
        <v>70</v>
      </c>
      <c r="N16" s="67">
        <v>100</v>
      </c>
      <c r="O16" s="68" t="s">
        <v>102</v>
      </c>
      <c r="P16" s="69">
        <v>5.7000000000000002E-3</v>
      </c>
      <c r="Q16" s="70">
        <f t="shared" ref="Q16" si="4">P16*N16</f>
        <v>0.57000000000000006</v>
      </c>
      <c r="R16" s="66"/>
      <c r="S16" s="66"/>
    </row>
    <row r="17" spans="1:19" ht="36" x14ac:dyDescent="0.25">
      <c r="A17" s="1"/>
      <c r="B17" s="47">
        <f>ROW(B17) - ROW($B$9)</f>
        <v>8</v>
      </c>
      <c r="C17" s="57" t="s">
        <v>11</v>
      </c>
      <c r="D17" s="38" t="s">
        <v>24</v>
      </c>
      <c r="E17" s="38" t="s">
        <v>37</v>
      </c>
      <c r="F17" s="39" t="s">
        <v>101</v>
      </c>
      <c r="G17" s="38" t="s">
        <v>45</v>
      </c>
      <c r="H17" s="39" t="s">
        <v>65</v>
      </c>
      <c r="I17" s="38" t="s">
        <v>99</v>
      </c>
      <c r="J17" s="39" t="s">
        <v>78</v>
      </c>
      <c r="K17" s="38" t="s">
        <v>99</v>
      </c>
      <c r="L17" s="39">
        <v>1</v>
      </c>
      <c r="M17" s="38">
        <f t="shared" si="1"/>
        <v>10</v>
      </c>
      <c r="N17" s="39">
        <v>61</v>
      </c>
      <c r="O17" s="58" t="s">
        <v>102</v>
      </c>
      <c r="P17" s="49">
        <v>9.1499999999999998E-2</v>
      </c>
      <c r="Q17" s="40">
        <f>P17*N17</f>
        <v>5.5815000000000001</v>
      </c>
      <c r="R17" s="38"/>
      <c r="S17" s="38"/>
    </row>
    <row r="18" spans="1:19" ht="24" x14ac:dyDescent="0.25">
      <c r="A18" s="1"/>
      <c r="B18" s="47">
        <f>ROW(B18) - ROW($B$9)</f>
        <v>9</v>
      </c>
      <c r="C18" s="90" t="s">
        <v>109</v>
      </c>
      <c r="D18" s="38" t="s">
        <v>110</v>
      </c>
      <c r="E18" s="38" t="s">
        <v>111</v>
      </c>
      <c r="F18" s="38" t="s">
        <v>101</v>
      </c>
      <c r="G18" s="38" t="s">
        <v>112</v>
      </c>
      <c r="H18" s="38" t="s">
        <v>113</v>
      </c>
      <c r="I18" s="38"/>
      <c r="J18" s="38"/>
      <c r="K18" s="38"/>
      <c r="L18" s="38">
        <v>1</v>
      </c>
      <c r="M18" s="38">
        <f t="shared" si="1"/>
        <v>10</v>
      </c>
      <c r="N18" s="38">
        <v>11</v>
      </c>
      <c r="O18" s="38"/>
      <c r="P18" s="40"/>
      <c r="Q18" s="40">
        <f>P18*N18</f>
        <v>0</v>
      </c>
      <c r="R18" s="38"/>
      <c r="S18" s="91"/>
    </row>
    <row r="19" spans="1:19" x14ac:dyDescent="0.25">
      <c r="A19" s="1"/>
      <c r="B19" s="48">
        <f t="shared" si="0"/>
        <v>10</v>
      </c>
      <c r="C19" s="84" t="s">
        <v>12</v>
      </c>
      <c r="D19" s="66" t="s">
        <v>25</v>
      </c>
      <c r="E19" s="66" t="s">
        <v>38</v>
      </c>
      <c r="F19" s="67" t="s">
        <v>46</v>
      </c>
      <c r="G19" s="66" t="s">
        <v>57</v>
      </c>
      <c r="H19" s="67" t="s">
        <v>66</v>
      </c>
      <c r="I19" s="66" t="s">
        <v>99</v>
      </c>
      <c r="J19" s="67" t="s">
        <v>79</v>
      </c>
      <c r="K19" s="66" t="s">
        <v>87</v>
      </c>
      <c r="L19" s="67">
        <v>1</v>
      </c>
      <c r="M19" s="66">
        <f t="shared" si="1"/>
        <v>10</v>
      </c>
      <c r="N19" s="67">
        <v>50</v>
      </c>
      <c r="O19" s="68" t="s">
        <v>102</v>
      </c>
      <c r="P19" s="69">
        <v>4.1999999999999997E-3</v>
      </c>
      <c r="Q19" s="70">
        <f t="shared" ref="Q19" si="5">P19*N19</f>
        <v>0.21</v>
      </c>
      <c r="R19" s="66"/>
      <c r="S19" s="66"/>
    </row>
    <row r="20" spans="1:19" x14ac:dyDescent="0.25">
      <c r="A20" s="1"/>
      <c r="B20" s="47">
        <f>ROW(B20) - ROW($B$9)</f>
        <v>11</v>
      </c>
      <c r="C20" s="57" t="s">
        <v>13</v>
      </c>
      <c r="D20" s="38" t="s">
        <v>26</v>
      </c>
      <c r="E20" s="38" t="s">
        <v>39</v>
      </c>
      <c r="F20" s="39" t="s">
        <v>47</v>
      </c>
      <c r="G20" s="38" t="s">
        <v>58</v>
      </c>
      <c r="H20" s="39" t="s">
        <v>67</v>
      </c>
      <c r="I20" s="38" t="s">
        <v>99</v>
      </c>
      <c r="J20" s="39"/>
      <c r="K20" s="38" t="s">
        <v>99</v>
      </c>
      <c r="L20" s="39">
        <v>1</v>
      </c>
      <c r="M20" s="38">
        <f t="shared" si="1"/>
        <v>10</v>
      </c>
      <c r="N20" s="39">
        <v>11</v>
      </c>
      <c r="O20" s="38"/>
      <c r="P20" s="49"/>
      <c r="Q20" s="40">
        <f>P20*N20</f>
        <v>0</v>
      </c>
      <c r="R20" s="38"/>
      <c r="S20" s="38"/>
    </row>
    <row r="21" spans="1:19" ht="24" x14ac:dyDescent="0.25">
      <c r="A21" s="1"/>
      <c r="B21" s="48">
        <f t="shared" ref="B21" si="6">ROW(B21) - ROW($B$9)</f>
        <v>12</v>
      </c>
      <c r="C21" s="92" t="s">
        <v>13</v>
      </c>
      <c r="D21" s="66" t="s">
        <v>114</v>
      </c>
      <c r="E21" s="66" t="s">
        <v>115</v>
      </c>
      <c r="F21" s="66" t="s">
        <v>101</v>
      </c>
      <c r="G21" s="66" t="s">
        <v>116</v>
      </c>
      <c r="H21" s="66" t="s">
        <v>117</v>
      </c>
      <c r="I21" s="66"/>
      <c r="J21" s="66"/>
      <c r="K21" s="66"/>
      <c r="L21" s="66">
        <v>1</v>
      </c>
      <c r="M21" s="38">
        <f t="shared" si="1"/>
        <v>10</v>
      </c>
      <c r="N21" s="66">
        <v>11</v>
      </c>
      <c r="O21" s="66"/>
      <c r="P21" s="70"/>
      <c r="Q21" s="70">
        <f t="shared" ref="Q21" si="7">P21*N21</f>
        <v>0</v>
      </c>
      <c r="R21" s="66"/>
      <c r="S21" s="91"/>
    </row>
    <row r="22" spans="1:19" ht="15.75" thickBot="1" x14ac:dyDescent="0.3">
      <c r="A22" s="1"/>
      <c r="B22" s="64">
        <f t="shared" si="0"/>
        <v>13</v>
      </c>
      <c r="C22" s="85" t="s">
        <v>14</v>
      </c>
      <c r="D22" s="86" t="s">
        <v>27</v>
      </c>
      <c r="E22" s="86" t="s">
        <v>40</v>
      </c>
      <c r="F22" s="87" t="s">
        <v>101</v>
      </c>
      <c r="G22" s="86" t="s">
        <v>59</v>
      </c>
      <c r="H22" s="87" t="s">
        <v>68</v>
      </c>
      <c r="I22" s="86" t="s">
        <v>99</v>
      </c>
      <c r="J22" s="87"/>
      <c r="K22" s="86" t="s">
        <v>88</v>
      </c>
      <c r="L22" s="87">
        <v>1</v>
      </c>
      <c r="M22" s="86">
        <f t="shared" si="1"/>
        <v>10</v>
      </c>
      <c r="N22" s="87">
        <v>11</v>
      </c>
      <c r="O22" s="86"/>
      <c r="P22" s="88"/>
      <c r="Q22" s="89">
        <f t="shared" ref="Q22" si="8">P22*N22</f>
        <v>0</v>
      </c>
      <c r="R22" s="86"/>
      <c r="S22" s="86"/>
    </row>
    <row r="23" spans="1:19" ht="19.5" thickBot="1" x14ac:dyDescent="0.3">
      <c r="A23" s="1"/>
      <c r="B23" s="41"/>
      <c r="C23" s="42"/>
      <c r="D23" s="43"/>
      <c r="E23" s="44"/>
      <c r="F23" s="45"/>
      <c r="G23" s="46"/>
      <c r="H23" s="45"/>
      <c r="I23" s="46"/>
      <c r="J23" s="45"/>
      <c r="K23" s="46"/>
      <c r="L23" s="46"/>
      <c r="M23" s="46"/>
      <c r="N23" s="79" t="s">
        <v>5</v>
      </c>
      <c r="O23" s="80"/>
      <c r="P23" s="80"/>
      <c r="Q23" s="62">
        <f>SUM(Q10:Q22)</f>
        <v>10.024500000000002</v>
      </c>
      <c r="R23" s="75"/>
      <c r="S23" s="76"/>
    </row>
    <row r="24" spans="1:19" ht="19.5" thickBot="1" x14ac:dyDescent="0.3">
      <c r="A24" s="1"/>
      <c r="B24" s="25"/>
      <c r="C24" s="37"/>
      <c r="D24" s="9"/>
      <c r="E24" s="10"/>
      <c r="F24" s="10"/>
      <c r="G24" s="10"/>
      <c r="H24" s="10"/>
      <c r="I24" s="10"/>
      <c r="J24" s="10"/>
      <c r="K24" s="10"/>
      <c r="L24" s="10"/>
      <c r="M24" s="10"/>
      <c r="N24" s="81" t="s">
        <v>6</v>
      </c>
      <c r="O24" s="82"/>
      <c r="P24" s="82"/>
      <c r="Q24" s="50">
        <f>Q23/10</f>
        <v>1.0024500000000001</v>
      </c>
      <c r="R24" s="77"/>
      <c r="S24" s="78"/>
    </row>
  </sheetData>
  <mergeCells count="5">
    <mergeCell ref="K1:S1"/>
    <mergeCell ref="S3:S8"/>
    <mergeCell ref="R23:S24"/>
    <mergeCell ref="N23:P23"/>
    <mergeCell ref="N24:P24"/>
  </mergeCells>
  <hyperlinks>
    <hyperlink ref="O10" r:id="rId1"/>
    <hyperlink ref="O11" r:id="rId2"/>
    <hyperlink ref="O12" r:id="rId3"/>
    <hyperlink ref="O13" r:id="rId4"/>
    <hyperlink ref="O14" r:id="rId5"/>
    <hyperlink ref="O15" r:id="rId6"/>
    <hyperlink ref="O16" r:id="rId7"/>
    <hyperlink ref="O17" r:id="rId8"/>
    <hyperlink ref="O19" r:id="rId9"/>
  </hyperlinks>
  <pageMargins left="0.7" right="0.7" top="0.75" bottom="0.75" header="0.3" footer="0.3"/>
  <pageSetup paperSize="9" orientation="portrait" r:id="rId10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abSelected="1" workbookViewId="0">
      <selection activeCell="G23" sqref="G23"/>
    </sheetView>
  </sheetViews>
  <sheetFormatPr defaultRowHeight="15" x14ac:dyDescent="0.25"/>
  <cols>
    <col min="2" max="2" width="3" bestFit="1" customWidth="1"/>
    <col min="3" max="3" width="16.5703125" customWidth="1"/>
    <col min="4" max="4" width="31.140625" bestFit="1" customWidth="1"/>
    <col min="5" max="5" width="28.42578125" customWidth="1"/>
    <col min="6" max="6" width="11.42578125" customWidth="1"/>
    <col min="7" max="7" width="25.28515625" bestFit="1" customWidth="1"/>
    <col min="8" max="8" width="14.7109375" customWidth="1"/>
    <col min="9" max="9" width="21.5703125" bestFit="1" customWidth="1"/>
    <col min="10" max="10" width="17" bestFit="1" customWidth="1"/>
    <col min="11" max="11" width="6.85546875" bestFit="1" customWidth="1"/>
    <col min="12" max="12" width="8.7109375" bestFit="1" customWidth="1"/>
    <col min="13" max="13" width="21.42578125" bestFit="1" customWidth="1"/>
    <col min="14" max="14" width="18.28515625" bestFit="1" customWidth="1"/>
    <col min="15" max="15" width="5.42578125" bestFit="1" customWidth="1"/>
    <col min="16" max="16" width="21.85546875" bestFit="1" customWidth="1"/>
    <col min="17" max="17" width="22.42578125" bestFit="1" customWidth="1"/>
    <col min="18" max="18" width="8.5703125" bestFit="1" customWidth="1"/>
    <col min="19" max="19" width="26.2851562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1"/>
      <c r="L1" s="71"/>
      <c r="M1" s="71"/>
      <c r="N1" s="71"/>
      <c r="O1" s="71"/>
      <c r="P1" s="71"/>
      <c r="Q1" s="71"/>
      <c r="R1" s="71"/>
      <c r="S1" s="72"/>
    </row>
    <row r="2" spans="1:19" ht="32.25" thickBot="1" x14ac:dyDescent="0.3">
      <c r="A2" s="1"/>
      <c r="B2" s="21"/>
      <c r="C2" s="32"/>
      <c r="D2" s="11" t="s">
        <v>0</v>
      </c>
      <c r="E2" s="11"/>
      <c r="F2" s="51" t="s">
        <v>107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3"/>
      <c r="D3" s="13" t="s">
        <v>1</v>
      </c>
      <c r="E3" s="13"/>
      <c r="F3" s="52" t="s">
        <v>100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3"/>
    </row>
    <row r="4" spans="1:19" x14ac:dyDescent="0.25">
      <c r="A4" s="1"/>
      <c r="B4" s="22"/>
      <c r="C4" s="33"/>
      <c r="D4" s="13" t="s">
        <v>2</v>
      </c>
      <c r="E4" s="13"/>
      <c r="F4" s="53" t="s">
        <v>100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4"/>
    </row>
    <row r="5" spans="1:19" x14ac:dyDescent="0.25">
      <c r="A5" s="1"/>
      <c r="B5" s="22"/>
      <c r="C5" s="33"/>
      <c r="D5" s="13" t="s">
        <v>3</v>
      </c>
      <c r="E5" s="13"/>
      <c r="F5" s="54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4"/>
    </row>
    <row r="6" spans="1:19" x14ac:dyDescent="0.25">
      <c r="A6" s="1"/>
      <c r="B6" s="23"/>
      <c r="C6" s="34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4"/>
    </row>
    <row r="7" spans="1:19" x14ac:dyDescent="0.25">
      <c r="A7" s="1"/>
      <c r="B7" s="24"/>
      <c r="C7" s="35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4"/>
    </row>
    <row r="8" spans="1:19" ht="15.75" thickBot="1" x14ac:dyDescent="0.3">
      <c r="A8" s="1"/>
      <c r="B8" s="27"/>
      <c r="C8" s="36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4"/>
    </row>
    <row r="9" spans="1:19" ht="15.75" thickBot="1" x14ac:dyDescent="0.3">
      <c r="A9" s="1"/>
      <c r="B9" s="30" t="s">
        <v>4</v>
      </c>
      <c r="C9" s="30" t="s">
        <v>8</v>
      </c>
      <c r="D9" s="31" t="s">
        <v>15</v>
      </c>
      <c r="E9" s="30" t="s">
        <v>28</v>
      </c>
      <c r="F9" s="31" t="s">
        <v>41</v>
      </c>
      <c r="G9" s="30" t="s">
        <v>48</v>
      </c>
      <c r="H9" s="31" t="s">
        <v>60</v>
      </c>
      <c r="I9" s="30" t="s">
        <v>90</v>
      </c>
      <c r="J9" s="31" t="s">
        <v>69</v>
      </c>
      <c r="K9" s="55" t="s">
        <v>91</v>
      </c>
      <c r="L9" s="55" t="s">
        <v>89</v>
      </c>
      <c r="M9" s="30" t="s">
        <v>103</v>
      </c>
      <c r="N9" s="31" t="s">
        <v>104</v>
      </c>
      <c r="O9" s="30" t="s">
        <v>94</v>
      </c>
      <c r="P9" s="31" t="s">
        <v>105</v>
      </c>
      <c r="Q9" s="30" t="s">
        <v>106</v>
      </c>
      <c r="R9" s="31" t="s">
        <v>97</v>
      </c>
      <c r="S9" s="30" t="s">
        <v>98</v>
      </c>
    </row>
    <row r="10" spans="1:19" s="60" customFormat="1" x14ac:dyDescent="0.25">
      <c r="A10" s="59"/>
      <c r="B10" s="47">
        <f>ROW(B10) - ROW($B$9)</f>
        <v>1</v>
      </c>
      <c r="C10" s="56" t="s">
        <v>9</v>
      </c>
      <c r="D10" s="38" t="s">
        <v>16</v>
      </c>
      <c r="E10" s="38" t="s">
        <v>29</v>
      </c>
      <c r="F10" s="39" t="s">
        <v>42</v>
      </c>
      <c r="G10" s="38" t="s">
        <v>49</v>
      </c>
      <c r="H10" s="39" t="s">
        <v>61</v>
      </c>
      <c r="I10" s="38" t="s">
        <v>99</v>
      </c>
      <c r="J10" s="39" t="s">
        <v>70</v>
      </c>
      <c r="K10" s="38" t="s">
        <v>80</v>
      </c>
      <c r="L10" s="39">
        <v>8</v>
      </c>
      <c r="M10" s="38">
        <f>L10*1000</f>
        <v>8000</v>
      </c>
      <c r="N10" s="39">
        <v>8100</v>
      </c>
      <c r="O10" s="58" t="s">
        <v>102</v>
      </c>
      <c r="P10" s="49">
        <v>1.4E-3</v>
      </c>
      <c r="Q10" s="40">
        <f>P10*N10</f>
        <v>11.34</v>
      </c>
      <c r="R10" s="39"/>
      <c r="S10" s="93"/>
    </row>
    <row r="11" spans="1:19" x14ac:dyDescent="0.25">
      <c r="A11" s="1"/>
      <c r="B11" s="61">
        <f t="shared" ref="B11:B23" si="0">ROW(B11) - ROW($B$9)</f>
        <v>2</v>
      </c>
      <c r="C11" s="94" t="s">
        <v>9</v>
      </c>
      <c r="D11" s="95" t="s">
        <v>17</v>
      </c>
      <c r="E11" s="95" t="s">
        <v>30</v>
      </c>
      <c r="F11" s="96" t="s">
        <v>42</v>
      </c>
      <c r="G11" s="95" t="s">
        <v>50</v>
      </c>
      <c r="H11" s="96" t="s">
        <v>61</v>
      </c>
      <c r="I11" s="95" t="s">
        <v>99</v>
      </c>
      <c r="J11" s="96" t="s">
        <v>71</v>
      </c>
      <c r="K11" s="95" t="s">
        <v>81</v>
      </c>
      <c r="L11" s="96">
        <v>1</v>
      </c>
      <c r="M11" s="95">
        <f t="shared" ref="M11:M23" si="1">L11*1000</f>
        <v>1000</v>
      </c>
      <c r="N11" s="96">
        <v>1100</v>
      </c>
      <c r="O11" s="97" t="s">
        <v>102</v>
      </c>
      <c r="P11" s="98">
        <v>8.9999999999999998E-4</v>
      </c>
      <c r="Q11" s="99">
        <f t="shared" ref="Q11" si="2">P11*N11</f>
        <v>0.99</v>
      </c>
      <c r="R11" s="96"/>
      <c r="S11" s="95"/>
    </row>
    <row r="12" spans="1:19" s="60" customFormat="1" x14ac:dyDescent="0.25">
      <c r="A12" s="59"/>
      <c r="B12" s="47">
        <f>ROW(B12) - ROW($B$9)</f>
        <v>3</v>
      </c>
      <c r="C12" s="56" t="s">
        <v>9</v>
      </c>
      <c r="D12" s="38" t="s">
        <v>18</v>
      </c>
      <c r="E12" s="38" t="s">
        <v>31</v>
      </c>
      <c r="F12" s="39" t="s">
        <v>43</v>
      </c>
      <c r="G12" s="38" t="s">
        <v>51</v>
      </c>
      <c r="H12" s="39" t="s">
        <v>61</v>
      </c>
      <c r="I12" s="38" t="s">
        <v>99</v>
      </c>
      <c r="J12" s="39" t="s">
        <v>72</v>
      </c>
      <c r="K12" s="38" t="s">
        <v>82</v>
      </c>
      <c r="L12" s="39">
        <v>2</v>
      </c>
      <c r="M12" s="38">
        <f t="shared" si="1"/>
        <v>2000</v>
      </c>
      <c r="N12" s="39">
        <v>2060</v>
      </c>
      <c r="O12" s="58" t="s">
        <v>102</v>
      </c>
      <c r="P12" s="49">
        <v>3.1199999999999999E-2</v>
      </c>
      <c r="Q12" s="40">
        <f>P12*N12</f>
        <v>64.271999999999991</v>
      </c>
      <c r="R12" s="39"/>
      <c r="S12" s="38"/>
    </row>
    <row r="13" spans="1:19" s="60" customFormat="1" x14ac:dyDescent="0.25">
      <c r="A13" s="59"/>
      <c r="B13" s="48">
        <f t="shared" si="0"/>
        <v>4</v>
      </c>
      <c r="C13" s="65" t="s">
        <v>9</v>
      </c>
      <c r="D13" s="66" t="s">
        <v>19</v>
      </c>
      <c r="E13" s="66" t="s">
        <v>32</v>
      </c>
      <c r="F13" s="67" t="s">
        <v>43</v>
      </c>
      <c r="G13" s="66" t="s">
        <v>52</v>
      </c>
      <c r="H13" s="67" t="s">
        <v>61</v>
      </c>
      <c r="I13" s="66" t="s">
        <v>99</v>
      </c>
      <c r="J13" s="67" t="s">
        <v>73</v>
      </c>
      <c r="K13" s="66" t="s">
        <v>83</v>
      </c>
      <c r="L13" s="67">
        <v>1</v>
      </c>
      <c r="M13" s="66">
        <f t="shared" si="1"/>
        <v>1000</v>
      </c>
      <c r="N13" s="67">
        <v>1060</v>
      </c>
      <c r="O13" s="68" t="s">
        <v>102</v>
      </c>
      <c r="P13" s="69">
        <v>1.7299999999999999E-2</v>
      </c>
      <c r="Q13" s="70">
        <f t="shared" ref="Q13" si="3">P13*N13</f>
        <v>18.338000000000001</v>
      </c>
      <c r="R13" s="67"/>
      <c r="S13" s="66"/>
    </row>
    <row r="14" spans="1:19" s="60" customFormat="1" x14ac:dyDescent="0.25">
      <c r="A14" s="59"/>
      <c r="B14" s="47">
        <f>ROW(B14) - ROW($B$9)</f>
        <v>5</v>
      </c>
      <c r="C14" s="56" t="s">
        <v>9</v>
      </c>
      <c r="D14" s="38" t="s">
        <v>20</v>
      </c>
      <c r="E14" s="38" t="s">
        <v>33</v>
      </c>
      <c r="F14" s="39" t="s">
        <v>42</v>
      </c>
      <c r="G14" s="38" t="s">
        <v>53</v>
      </c>
      <c r="H14" s="39" t="s">
        <v>62</v>
      </c>
      <c r="I14" s="38" t="s">
        <v>99</v>
      </c>
      <c r="J14" s="39" t="s">
        <v>74</v>
      </c>
      <c r="K14" s="38" t="s">
        <v>83</v>
      </c>
      <c r="L14" s="39">
        <v>3</v>
      </c>
      <c r="M14" s="38">
        <f t="shared" si="1"/>
        <v>3000</v>
      </c>
      <c r="N14" s="39">
        <v>3050</v>
      </c>
      <c r="O14" s="58" t="s">
        <v>102</v>
      </c>
      <c r="P14" s="49">
        <v>6.7999999999999996E-3</v>
      </c>
      <c r="Q14" s="40">
        <f>P14*N14</f>
        <v>20.74</v>
      </c>
      <c r="R14" s="39"/>
      <c r="S14" s="38"/>
    </row>
    <row r="15" spans="1:19" x14ac:dyDescent="0.25">
      <c r="A15" s="1"/>
      <c r="B15" s="61">
        <f t="shared" si="0"/>
        <v>6</v>
      </c>
      <c r="C15" s="94" t="s">
        <v>9</v>
      </c>
      <c r="D15" s="95" t="s">
        <v>21</v>
      </c>
      <c r="E15" s="95" t="s">
        <v>34</v>
      </c>
      <c r="F15" s="96" t="s">
        <v>42</v>
      </c>
      <c r="G15" s="95" t="s">
        <v>54</v>
      </c>
      <c r="H15" s="96" t="s">
        <v>63</v>
      </c>
      <c r="I15" s="95" t="s">
        <v>99</v>
      </c>
      <c r="J15" s="96" t="s">
        <v>75</v>
      </c>
      <c r="K15" s="95" t="s">
        <v>84</v>
      </c>
      <c r="L15" s="96">
        <v>1</v>
      </c>
      <c r="M15" s="95">
        <f t="shared" si="1"/>
        <v>1000</v>
      </c>
      <c r="N15" s="96">
        <v>1080</v>
      </c>
      <c r="O15" s="97" t="s">
        <v>102</v>
      </c>
      <c r="P15" s="98">
        <v>1.7829999999999999E-2</v>
      </c>
      <c r="Q15" s="99">
        <f t="shared" ref="Q15" si="4">P15*N15</f>
        <v>19.256399999999999</v>
      </c>
      <c r="R15" s="96"/>
      <c r="S15" s="95"/>
    </row>
    <row r="16" spans="1:19" s="60" customFormat="1" x14ac:dyDescent="0.25">
      <c r="A16" s="59"/>
      <c r="B16" s="47">
        <f>ROW(B16) - ROW($B$9)</f>
        <v>7</v>
      </c>
      <c r="C16" s="56" t="s">
        <v>9</v>
      </c>
      <c r="D16" s="38" t="s">
        <v>22</v>
      </c>
      <c r="E16" s="38" t="s">
        <v>35</v>
      </c>
      <c r="F16" s="39" t="s">
        <v>42</v>
      </c>
      <c r="G16" s="38" t="s">
        <v>55</v>
      </c>
      <c r="H16" s="39" t="s">
        <v>62</v>
      </c>
      <c r="I16" s="38" t="s">
        <v>99</v>
      </c>
      <c r="J16" s="39" t="s">
        <v>76</v>
      </c>
      <c r="K16" s="38" t="s">
        <v>85</v>
      </c>
      <c r="L16" s="39">
        <v>1</v>
      </c>
      <c r="M16" s="38">
        <f t="shared" si="1"/>
        <v>1000</v>
      </c>
      <c r="N16" s="39">
        <v>1100</v>
      </c>
      <c r="O16" s="58" t="s">
        <v>102</v>
      </c>
      <c r="P16" s="49">
        <v>5.5999999999999999E-3</v>
      </c>
      <c r="Q16" s="40">
        <f>P16*N16</f>
        <v>6.16</v>
      </c>
      <c r="R16" s="39"/>
      <c r="S16" s="38"/>
    </row>
    <row r="17" spans="1:19" x14ac:dyDescent="0.25">
      <c r="A17" s="1"/>
      <c r="B17" s="61">
        <f t="shared" si="0"/>
        <v>8</v>
      </c>
      <c r="C17" s="100" t="s">
        <v>10</v>
      </c>
      <c r="D17" s="95" t="s">
        <v>23</v>
      </c>
      <c r="E17" s="95" t="s">
        <v>36</v>
      </c>
      <c r="F17" s="96" t="s">
        <v>44</v>
      </c>
      <c r="G17" s="95" t="s">
        <v>56</v>
      </c>
      <c r="H17" s="96" t="s">
        <v>64</v>
      </c>
      <c r="I17" s="95" t="s">
        <v>99</v>
      </c>
      <c r="J17" s="96" t="s">
        <v>77</v>
      </c>
      <c r="K17" s="95" t="s">
        <v>86</v>
      </c>
      <c r="L17" s="96">
        <v>7</v>
      </c>
      <c r="M17" s="95">
        <f t="shared" si="1"/>
        <v>7000</v>
      </c>
      <c r="N17" s="96">
        <v>7100</v>
      </c>
      <c r="O17" s="97" t="s">
        <v>102</v>
      </c>
      <c r="P17" s="98">
        <v>4.1000000000000003E-3</v>
      </c>
      <c r="Q17" s="99">
        <f t="shared" ref="Q17" si="5">P17*N17</f>
        <v>29.110000000000003</v>
      </c>
      <c r="R17" s="96"/>
      <c r="S17" s="95"/>
    </row>
    <row r="18" spans="1:19" s="60" customFormat="1" ht="48" x14ac:dyDescent="0.25">
      <c r="A18" s="59"/>
      <c r="B18" s="47">
        <f>ROW(B18) - ROW($B$9)</f>
        <v>9</v>
      </c>
      <c r="C18" s="57" t="s">
        <v>11</v>
      </c>
      <c r="D18" s="38" t="s">
        <v>24</v>
      </c>
      <c r="E18" s="38" t="s">
        <v>37</v>
      </c>
      <c r="F18" s="39" t="s">
        <v>101</v>
      </c>
      <c r="G18" s="38" t="s">
        <v>45</v>
      </c>
      <c r="H18" s="39" t="s">
        <v>65</v>
      </c>
      <c r="I18" s="38" t="s">
        <v>99</v>
      </c>
      <c r="J18" s="39" t="s">
        <v>78</v>
      </c>
      <c r="K18" s="38" t="s">
        <v>99</v>
      </c>
      <c r="L18" s="39">
        <v>1</v>
      </c>
      <c r="M18" s="38">
        <f t="shared" si="1"/>
        <v>1000</v>
      </c>
      <c r="N18" s="39">
        <v>1098</v>
      </c>
      <c r="O18" s="58" t="s">
        <v>102</v>
      </c>
      <c r="P18" s="49">
        <v>7.4399999999999994E-2</v>
      </c>
      <c r="Q18" s="40">
        <f>P18*N18</f>
        <v>81.691199999999995</v>
      </c>
      <c r="R18" s="39"/>
      <c r="S18" s="38"/>
    </row>
    <row r="19" spans="1:19" ht="24" x14ac:dyDescent="0.25">
      <c r="A19" s="1"/>
      <c r="B19" s="47">
        <f>ROW(B19) - ROW($B$9)</f>
        <v>10</v>
      </c>
      <c r="C19" s="90" t="s">
        <v>109</v>
      </c>
      <c r="D19" s="38" t="s">
        <v>110</v>
      </c>
      <c r="E19" s="38" t="s">
        <v>111</v>
      </c>
      <c r="F19" s="38" t="s">
        <v>101</v>
      </c>
      <c r="G19" s="38" t="s">
        <v>112</v>
      </c>
      <c r="H19" s="38" t="s">
        <v>113</v>
      </c>
      <c r="I19" s="38"/>
      <c r="J19" s="38"/>
      <c r="K19" s="38"/>
      <c r="L19" s="38">
        <v>1</v>
      </c>
      <c r="M19" s="38">
        <f t="shared" si="1"/>
        <v>1000</v>
      </c>
      <c r="N19" s="38"/>
      <c r="O19" s="38"/>
      <c r="P19" s="40"/>
      <c r="Q19" s="40">
        <f>P19*N19</f>
        <v>0</v>
      </c>
      <c r="R19" s="38"/>
      <c r="S19" s="91"/>
    </row>
    <row r="20" spans="1:19" x14ac:dyDescent="0.25">
      <c r="A20" s="1"/>
      <c r="B20" s="61">
        <f t="shared" si="0"/>
        <v>11</v>
      </c>
      <c r="C20" s="100" t="s">
        <v>12</v>
      </c>
      <c r="D20" s="95" t="s">
        <v>25</v>
      </c>
      <c r="E20" s="95" t="s">
        <v>38</v>
      </c>
      <c r="F20" s="96" t="s">
        <v>46</v>
      </c>
      <c r="G20" s="95" t="s">
        <v>57</v>
      </c>
      <c r="H20" s="96" t="s">
        <v>66</v>
      </c>
      <c r="I20" s="95" t="s">
        <v>99</v>
      </c>
      <c r="J20" s="96" t="s">
        <v>79</v>
      </c>
      <c r="K20" s="95" t="s">
        <v>87</v>
      </c>
      <c r="L20" s="96">
        <v>1</v>
      </c>
      <c r="M20" s="95">
        <f t="shared" si="1"/>
        <v>1000</v>
      </c>
      <c r="N20" s="96">
        <v>1050</v>
      </c>
      <c r="O20" s="97" t="s">
        <v>102</v>
      </c>
      <c r="P20" s="98">
        <v>3.5000000000000001E-3</v>
      </c>
      <c r="Q20" s="99">
        <f t="shared" ref="Q20" si="6">P20*N20</f>
        <v>3.6750000000000003</v>
      </c>
      <c r="R20" s="96"/>
      <c r="S20" s="95"/>
    </row>
    <row r="21" spans="1:19" s="60" customFormat="1" x14ac:dyDescent="0.25">
      <c r="A21" s="59"/>
      <c r="B21" s="47">
        <f>ROW(B21) - ROW($B$9)</f>
        <v>12</v>
      </c>
      <c r="C21" s="57" t="s">
        <v>13</v>
      </c>
      <c r="D21" s="38" t="s">
        <v>26</v>
      </c>
      <c r="E21" s="38" t="s">
        <v>39</v>
      </c>
      <c r="F21" s="39" t="s">
        <v>47</v>
      </c>
      <c r="G21" s="38" t="s">
        <v>58</v>
      </c>
      <c r="H21" s="39" t="s">
        <v>67</v>
      </c>
      <c r="I21" s="38" t="s">
        <v>99</v>
      </c>
      <c r="J21" s="39"/>
      <c r="K21" s="38" t="s">
        <v>99</v>
      </c>
      <c r="L21" s="39">
        <v>1</v>
      </c>
      <c r="M21" s="38">
        <f t="shared" si="1"/>
        <v>1000</v>
      </c>
      <c r="N21" s="39"/>
      <c r="O21" s="38"/>
      <c r="P21" s="49"/>
      <c r="Q21" s="40">
        <f>P21*N21</f>
        <v>0</v>
      </c>
      <c r="R21" s="39"/>
      <c r="S21" s="38"/>
    </row>
    <row r="22" spans="1:19" ht="24" x14ac:dyDescent="0.25">
      <c r="A22" s="1"/>
      <c r="B22" s="48">
        <f t="shared" ref="B22" si="7">ROW(B22) - ROW($B$9)</f>
        <v>13</v>
      </c>
      <c r="C22" s="92" t="s">
        <v>13</v>
      </c>
      <c r="D22" s="66" t="s">
        <v>114</v>
      </c>
      <c r="E22" s="66" t="s">
        <v>115</v>
      </c>
      <c r="F22" s="66" t="s">
        <v>101</v>
      </c>
      <c r="G22" s="66" t="s">
        <v>116</v>
      </c>
      <c r="H22" s="66" t="s">
        <v>117</v>
      </c>
      <c r="I22" s="66"/>
      <c r="J22" s="66"/>
      <c r="K22" s="66"/>
      <c r="L22" s="66">
        <v>1</v>
      </c>
      <c r="M22" s="38">
        <f t="shared" si="1"/>
        <v>1000</v>
      </c>
      <c r="N22" s="66"/>
      <c r="O22" s="66"/>
      <c r="P22" s="70"/>
      <c r="Q22" s="70">
        <f t="shared" ref="Q22" si="8">P22*N22</f>
        <v>0</v>
      </c>
      <c r="R22" s="66"/>
      <c r="S22" s="91"/>
    </row>
    <row r="23" spans="1:19" ht="15.75" thickBot="1" x14ac:dyDescent="0.3">
      <c r="A23" s="1"/>
      <c r="B23" s="63">
        <f t="shared" si="0"/>
        <v>14</v>
      </c>
      <c r="C23" s="101" t="s">
        <v>14</v>
      </c>
      <c r="D23" s="102" t="s">
        <v>27</v>
      </c>
      <c r="E23" s="102" t="s">
        <v>40</v>
      </c>
      <c r="F23" s="103" t="s">
        <v>101</v>
      </c>
      <c r="G23" s="102" t="s">
        <v>59</v>
      </c>
      <c r="H23" s="103" t="s">
        <v>68</v>
      </c>
      <c r="I23" s="102" t="s">
        <v>99</v>
      </c>
      <c r="J23" s="103"/>
      <c r="K23" s="102" t="s">
        <v>88</v>
      </c>
      <c r="L23" s="103">
        <v>1</v>
      </c>
      <c r="M23" s="102">
        <f t="shared" si="1"/>
        <v>1000</v>
      </c>
      <c r="N23" s="103"/>
      <c r="O23" s="102"/>
      <c r="P23" s="104"/>
      <c r="Q23" s="105">
        <f t="shared" ref="Q23" si="9">P23*N23</f>
        <v>0</v>
      </c>
      <c r="R23" s="103"/>
      <c r="S23" s="102"/>
    </row>
    <row r="24" spans="1:19" ht="19.5" thickBot="1" x14ac:dyDescent="0.3">
      <c r="A24" s="1"/>
      <c r="B24" s="41"/>
      <c r="C24" s="42"/>
      <c r="D24" s="43"/>
      <c r="E24" s="44"/>
      <c r="F24" s="45"/>
      <c r="G24" s="46"/>
      <c r="H24" s="45"/>
      <c r="I24" s="46"/>
      <c r="J24" s="45"/>
      <c r="K24" s="46"/>
      <c r="L24" s="46"/>
      <c r="M24" s="46"/>
      <c r="N24" s="79" t="s">
        <v>5</v>
      </c>
      <c r="O24" s="80"/>
      <c r="P24" s="80"/>
      <c r="Q24" s="62">
        <f>SUM(Q10:Q23)</f>
        <v>255.57260000000002</v>
      </c>
      <c r="R24" s="75"/>
      <c r="S24" s="76"/>
    </row>
    <row r="25" spans="1:19" ht="19.5" thickBot="1" x14ac:dyDescent="0.3">
      <c r="A25" s="1"/>
      <c r="B25" s="25"/>
      <c r="C25" s="37"/>
      <c r="D25" s="9"/>
      <c r="E25" s="10"/>
      <c r="F25" s="10"/>
      <c r="G25" s="10"/>
      <c r="H25" s="10"/>
      <c r="I25" s="10"/>
      <c r="J25" s="10"/>
      <c r="K25" s="10"/>
      <c r="L25" s="10"/>
      <c r="M25" s="10"/>
      <c r="N25" s="81" t="s">
        <v>6</v>
      </c>
      <c r="O25" s="82"/>
      <c r="P25" s="82"/>
      <c r="Q25" s="50">
        <f>Q24/10</f>
        <v>25.557260000000003</v>
      </c>
      <c r="R25" s="77"/>
      <c r="S25" s="78"/>
    </row>
  </sheetData>
  <mergeCells count="5">
    <mergeCell ref="K1:S1"/>
    <mergeCell ref="S3:S8"/>
    <mergeCell ref="N24:P24"/>
    <mergeCell ref="R24:S25"/>
    <mergeCell ref="N25:P25"/>
  </mergeCells>
  <hyperlinks>
    <hyperlink ref="O10" r:id="rId1"/>
    <hyperlink ref="O11" r:id="rId2"/>
    <hyperlink ref="O12" r:id="rId3"/>
    <hyperlink ref="O13" r:id="rId4"/>
    <hyperlink ref="O14" r:id="rId5"/>
    <hyperlink ref="O15" r:id="rId6"/>
    <hyperlink ref="O16" r:id="rId7"/>
    <hyperlink ref="O17" r:id="rId8"/>
    <hyperlink ref="O18" r:id="rId9"/>
    <hyperlink ref="O20" r:id="rId10"/>
  </hyperlinks>
  <pageMargins left="0.7" right="0.7" top="0.75" bottom="0.75" header="0.3" footer="0.3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 Boards</vt:lpstr>
      <vt:lpstr>1000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2023-07-03T11:33:01Z</dcterms:modified>
</cp:coreProperties>
</file>