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zlo-thermostat\Design Files\Ezlo-Radar-Sensor-v2.0-Advance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6" i="1" l="1"/>
  <c r="B15" i="1" l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<sst xmlns="http://schemas.openxmlformats.org/spreadsheetml/2006/main" count="108" uniqueCount="85">
  <si>
    <t>#</t>
  </si>
  <si>
    <t>Item Type</t>
  </si>
  <si>
    <t>Capacitor</t>
  </si>
  <si>
    <t>Ferrite Bead</t>
  </si>
  <si>
    <t>FPC Connector</t>
  </si>
  <si>
    <t>MICROPHONE</t>
  </si>
  <si>
    <t>Resistor</t>
  </si>
  <si>
    <t>IC</t>
  </si>
  <si>
    <t>Crystal</t>
  </si>
  <si>
    <t>Designator</t>
  </si>
  <si>
    <t>C1, C2, C4, C6, C8, C9, C10, C17, C22</t>
  </si>
  <si>
    <t>C3</t>
  </si>
  <si>
    <t>C5, C11, C18</t>
  </si>
  <si>
    <t>C7, C12, C14, C15, C19</t>
  </si>
  <si>
    <t>C13</t>
  </si>
  <si>
    <t>C16, C20, C21, C23</t>
  </si>
  <si>
    <t>FB1, FB2, FB3, FB4, FB5, FB6, FB7</t>
  </si>
  <si>
    <t>J1</t>
  </si>
  <si>
    <t>Mk1</t>
  </si>
  <si>
    <t>R1</t>
  </si>
  <si>
    <t>U1</t>
  </si>
  <si>
    <t>U2</t>
  </si>
  <si>
    <t>X1</t>
  </si>
  <si>
    <t>Description</t>
  </si>
  <si>
    <t>CAP CER 1UF 10V X5R 0402</t>
  </si>
  <si>
    <t>CAP CER 10000PF 25V X7R 0402</t>
  </si>
  <si>
    <t>CAP CER 22UF 10V X5R 0603</t>
  </si>
  <si>
    <t>CAP CER 10UF 10V X5R 0402</t>
  </si>
  <si>
    <t>CAP CER 0.47UF 50V X5R 0402</t>
  </si>
  <si>
    <t>CAP CER 0.1UF 50V X7R 0402</t>
  </si>
  <si>
    <t>FERRITE BEAD 120 OHM 0402 1LN</t>
  </si>
  <si>
    <t>Clamshell 15 Bottom Contact Surface Mount 0.5mm SMD,P=0.5mm FFC/FPC Connectors ROHS</t>
  </si>
  <si>
    <t>Mic Omni-Directional -26dB 3.63V Rectangular Solder Pad T/R</t>
  </si>
  <si>
    <t>RES SMD 150 OHM 5% 1/10W 0402</t>
  </si>
  <si>
    <t>Rf Transceiver PG-VF2BGA-40</t>
  </si>
  <si>
    <t>Integrated Gesture Recognition Sensor with I2C Interface</t>
  </si>
  <si>
    <t>XTAL OSC XO 80.0000MHZ CMOS SMD</t>
  </si>
  <si>
    <t>Footprint</t>
  </si>
  <si>
    <t>Cap-0402</t>
  </si>
  <si>
    <t>Cap-0603</t>
  </si>
  <si>
    <t>IND-0402</t>
  </si>
  <si>
    <t>AFC01-S15FCC-00</t>
  </si>
  <si>
    <t>ICS-43434</t>
  </si>
  <si>
    <t>Res-0402</t>
  </si>
  <si>
    <t>pg-vf2bga-40</t>
  </si>
  <si>
    <t>PAJ7620U2</t>
  </si>
  <si>
    <t>Manufacturer Part Number</t>
  </si>
  <si>
    <t>CC0402KRX5R6BB105</t>
  </si>
  <si>
    <t>CC0402KRX7R8BB103</t>
  </si>
  <si>
    <t>CC0603MRX5R6BB226</t>
  </si>
  <si>
    <t>CL05A106MP5NUNC</t>
  </si>
  <si>
    <t>UMK105ABJ474KV-F</t>
  </si>
  <si>
    <t>CL05B104KB54PNC</t>
  </si>
  <si>
    <t>BLM15PD121SN1D</t>
  </si>
  <si>
    <t>ERJ-2GEJ151X</t>
  </si>
  <si>
    <t>BGT60TR13CE6327XUMA1</t>
  </si>
  <si>
    <t>KC2016K80.0000C1GE00</t>
  </si>
  <si>
    <t>Manufacturer</t>
  </si>
  <si>
    <t>Yageo</t>
  </si>
  <si>
    <t>Samsung</t>
  </si>
  <si>
    <t>Taiyo Yuden</t>
  </si>
  <si>
    <t>Murata</t>
  </si>
  <si>
    <t>JUSHUO</t>
  </si>
  <si>
    <t>TDK InvenSense</t>
  </si>
  <si>
    <t>Panasonic</t>
  </si>
  <si>
    <t>Infineon</t>
  </si>
  <si>
    <t>PixART Imaging Inc.</t>
  </si>
  <si>
    <t>Kyocera AVX</t>
  </si>
  <si>
    <t>1uF</t>
  </si>
  <si>
    <t>10nF</t>
  </si>
  <si>
    <t>22uF</t>
  </si>
  <si>
    <t>10uF</t>
  </si>
  <si>
    <t>0.47uF</t>
  </si>
  <si>
    <t>0.1uF</t>
  </si>
  <si>
    <t>100MHz</t>
  </si>
  <si>
    <t>150R</t>
  </si>
  <si>
    <t>80MHz</t>
  </si>
  <si>
    <t>Quantity</t>
  </si>
  <si>
    <t>Value</t>
  </si>
  <si>
    <t>Remarks</t>
  </si>
  <si>
    <t>-</t>
  </si>
  <si>
    <t>peripheral</t>
  </si>
  <si>
    <t>KH-FFC-A0.5-15P-120MM</t>
  </si>
  <si>
    <t>15 0.5mm Same Side 120mm P=0.5mm FFC/FPC Connect Cables ROHS</t>
  </si>
  <si>
    <t>Shenzhen Kinghelm 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</si>
</sst>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>
      <alignment vertical="center"/>
    </xf>
    <xf numFmtId="0" fontId="0" fillId="3" borderId="7" xfId="0" applyFill="1" applyBorder="1"/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3" fillId="3" borderId="13" xfId="0" applyFont="1" applyFill="1" applyBorder="1" applyAlignment="1" applyProtection="1">
      <alignment horizontal="left" vertical="top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8"/>
  <sheetViews>
    <sheetView tabSelected="1" workbookViewId="0">
      <selection activeCell="A16" sqref="A16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1.7109375" customWidth="1"/>
    <col min="6" max="6" width="10.7109375" bestFit="1" customWidth="1"/>
    <col min="7" max="7" width="25.28515625" bestFit="1" customWidth="1"/>
    <col min="8" max="8" width="21.42578125" bestFit="1" customWidth="1"/>
    <col min="9" max="9" width="6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5"/>
      <c r="C1" s="5"/>
      <c r="D1" s="2"/>
      <c r="E1" s="2"/>
      <c r="F1" s="2"/>
      <c r="G1" s="2"/>
      <c r="H1" s="2"/>
      <c r="I1" s="26"/>
      <c r="J1" s="26"/>
      <c r="K1" s="26"/>
    </row>
    <row r="2" spans="1:11" ht="15.75" thickBot="1" x14ac:dyDescent="0.3">
      <c r="A2" s="1"/>
      <c r="B2" s="8" t="s">
        <v>0</v>
      </c>
      <c r="C2" s="8" t="s">
        <v>1</v>
      </c>
      <c r="D2" s="8" t="s">
        <v>9</v>
      </c>
      <c r="E2" s="9" t="s">
        <v>23</v>
      </c>
      <c r="F2" s="8" t="s">
        <v>37</v>
      </c>
      <c r="G2" s="9" t="s">
        <v>46</v>
      </c>
      <c r="H2" s="8" t="s">
        <v>57</v>
      </c>
      <c r="I2" s="9" t="s">
        <v>78</v>
      </c>
      <c r="J2" s="8" t="s">
        <v>77</v>
      </c>
      <c r="K2" s="8" t="s">
        <v>79</v>
      </c>
    </row>
    <row r="3" spans="1:11" ht="15.75" thickBot="1" x14ac:dyDescent="0.3">
      <c r="A3" s="1"/>
      <c r="B3" s="23">
        <f>ROW(B3) - ROW($B$2)</f>
        <v>1</v>
      </c>
      <c r="C3" s="24" t="s">
        <v>2</v>
      </c>
      <c r="D3" s="15" t="s">
        <v>10</v>
      </c>
      <c r="E3" s="16" t="s">
        <v>24</v>
      </c>
      <c r="F3" s="15" t="s">
        <v>38</v>
      </c>
      <c r="G3" s="16" t="s">
        <v>47</v>
      </c>
      <c r="H3" s="15" t="s">
        <v>58</v>
      </c>
      <c r="I3" s="16" t="s">
        <v>68</v>
      </c>
      <c r="J3" s="15">
        <v>9</v>
      </c>
      <c r="K3" s="15"/>
    </row>
    <row r="4" spans="1:11" ht="15.75" thickBot="1" x14ac:dyDescent="0.3">
      <c r="A4" s="1"/>
      <c r="B4" s="23">
        <f t="shared" ref="B4:B14" si="0">ROW(B4) - ROW($B$2)</f>
        <v>2</v>
      </c>
      <c r="C4" s="24" t="s">
        <v>2</v>
      </c>
      <c r="D4" s="17" t="s">
        <v>11</v>
      </c>
      <c r="E4" s="18" t="s">
        <v>25</v>
      </c>
      <c r="F4" s="17" t="s">
        <v>38</v>
      </c>
      <c r="G4" s="18" t="s">
        <v>48</v>
      </c>
      <c r="H4" s="17" t="s">
        <v>58</v>
      </c>
      <c r="I4" s="18" t="s">
        <v>69</v>
      </c>
      <c r="J4" s="17">
        <v>1</v>
      </c>
      <c r="K4" s="17"/>
    </row>
    <row r="5" spans="1:11" ht="15.75" thickBot="1" x14ac:dyDescent="0.3">
      <c r="A5" s="1"/>
      <c r="B5" s="23">
        <f>ROW(B5) - ROW($B$2)</f>
        <v>3</v>
      </c>
      <c r="C5" s="24" t="s">
        <v>2</v>
      </c>
      <c r="D5" s="15" t="s">
        <v>12</v>
      </c>
      <c r="E5" s="16" t="s">
        <v>26</v>
      </c>
      <c r="F5" s="15" t="s">
        <v>39</v>
      </c>
      <c r="G5" s="16" t="s">
        <v>49</v>
      </c>
      <c r="H5" s="15" t="s">
        <v>58</v>
      </c>
      <c r="I5" s="16" t="s">
        <v>70</v>
      </c>
      <c r="J5" s="15">
        <v>3</v>
      </c>
      <c r="K5" s="15"/>
    </row>
    <row r="6" spans="1:11" ht="15.75" thickBot="1" x14ac:dyDescent="0.3">
      <c r="A6" s="1"/>
      <c r="B6" s="23">
        <f t="shared" si="0"/>
        <v>4</v>
      </c>
      <c r="C6" s="24" t="s">
        <v>2</v>
      </c>
      <c r="D6" s="17" t="s">
        <v>13</v>
      </c>
      <c r="E6" s="18" t="s">
        <v>27</v>
      </c>
      <c r="F6" s="17" t="s">
        <v>38</v>
      </c>
      <c r="G6" s="18" t="s">
        <v>50</v>
      </c>
      <c r="H6" s="17" t="s">
        <v>59</v>
      </c>
      <c r="I6" s="18" t="s">
        <v>71</v>
      </c>
      <c r="J6" s="17">
        <v>5</v>
      </c>
      <c r="K6" s="17"/>
    </row>
    <row r="7" spans="1:11" ht="15.75" thickBot="1" x14ac:dyDescent="0.3">
      <c r="A7" s="1"/>
      <c r="B7" s="23">
        <f>ROW(B7) - ROW($B$2)</f>
        <v>5</v>
      </c>
      <c r="C7" s="24" t="s">
        <v>2</v>
      </c>
      <c r="D7" s="15" t="s">
        <v>14</v>
      </c>
      <c r="E7" s="16" t="s">
        <v>28</v>
      </c>
      <c r="F7" s="15" t="s">
        <v>38</v>
      </c>
      <c r="G7" s="16" t="s">
        <v>51</v>
      </c>
      <c r="H7" s="15" t="s">
        <v>60</v>
      </c>
      <c r="I7" s="16" t="s">
        <v>72</v>
      </c>
      <c r="J7" s="15">
        <v>1</v>
      </c>
      <c r="K7" s="15"/>
    </row>
    <row r="8" spans="1:11" ht="15.75" thickBot="1" x14ac:dyDescent="0.3">
      <c r="A8" s="1"/>
      <c r="B8" s="23">
        <f t="shared" si="0"/>
        <v>6</v>
      </c>
      <c r="C8" s="24" t="s">
        <v>2</v>
      </c>
      <c r="D8" s="17" t="s">
        <v>15</v>
      </c>
      <c r="E8" s="18" t="s">
        <v>29</v>
      </c>
      <c r="F8" s="17" t="s">
        <v>38</v>
      </c>
      <c r="G8" s="18" t="s">
        <v>52</v>
      </c>
      <c r="H8" s="17" t="s">
        <v>59</v>
      </c>
      <c r="I8" s="18" t="s">
        <v>73</v>
      </c>
      <c r="J8" s="17">
        <v>4</v>
      </c>
      <c r="K8" s="17"/>
    </row>
    <row r="9" spans="1:11" ht="15.75" thickBot="1" x14ac:dyDescent="0.3">
      <c r="A9" s="1"/>
      <c r="B9" s="23">
        <f>ROW(B9) - ROW($B$2)</f>
        <v>7</v>
      </c>
      <c r="C9" s="25" t="s">
        <v>3</v>
      </c>
      <c r="D9" s="15" t="s">
        <v>16</v>
      </c>
      <c r="E9" s="16" t="s">
        <v>30</v>
      </c>
      <c r="F9" s="15" t="s">
        <v>40</v>
      </c>
      <c r="G9" s="16" t="s">
        <v>53</v>
      </c>
      <c r="H9" s="15" t="s">
        <v>61</v>
      </c>
      <c r="I9" s="16" t="s">
        <v>74</v>
      </c>
      <c r="J9" s="15">
        <v>7</v>
      </c>
      <c r="K9" s="15"/>
    </row>
    <row r="10" spans="1:11" ht="36.75" thickBot="1" x14ac:dyDescent="0.3">
      <c r="A10" s="1"/>
      <c r="B10" s="23">
        <f t="shared" si="0"/>
        <v>8</v>
      </c>
      <c r="C10" s="24" t="s">
        <v>4</v>
      </c>
      <c r="D10" s="17" t="s">
        <v>17</v>
      </c>
      <c r="E10" s="18" t="s">
        <v>31</v>
      </c>
      <c r="F10" s="17" t="s">
        <v>80</v>
      </c>
      <c r="G10" s="18" t="s">
        <v>41</v>
      </c>
      <c r="H10" s="17" t="s">
        <v>62</v>
      </c>
      <c r="I10" s="18" t="s">
        <v>80</v>
      </c>
      <c r="J10" s="17">
        <v>1</v>
      </c>
      <c r="K10" s="17"/>
    </row>
    <row r="11" spans="1:11" ht="24.75" thickBot="1" x14ac:dyDescent="0.3">
      <c r="A11" s="1"/>
      <c r="B11" s="23">
        <f>ROW(B11) - ROW($B$2)</f>
        <v>9</v>
      </c>
      <c r="C11" s="25" t="s">
        <v>5</v>
      </c>
      <c r="D11" s="15" t="s">
        <v>18</v>
      </c>
      <c r="E11" s="16" t="s">
        <v>32</v>
      </c>
      <c r="F11" s="15" t="s">
        <v>80</v>
      </c>
      <c r="G11" s="16" t="s">
        <v>42</v>
      </c>
      <c r="H11" s="15" t="s">
        <v>63</v>
      </c>
      <c r="I11" s="16" t="s">
        <v>80</v>
      </c>
      <c r="J11" s="15">
        <v>1</v>
      </c>
      <c r="K11" s="15"/>
    </row>
    <row r="12" spans="1:11" ht="15.75" thickBot="1" x14ac:dyDescent="0.3">
      <c r="A12" s="1"/>
      <c r="B12" s="23">
        <f t="shared" si="0"/>
        <v>10</v>
      </c>
      <c r="C12" s="24" t="s">
        <v>6</v>
      </c>
      <c r="D12" s="17" t="s">
        <v>19</v>
      </c>
      <c r="E12" s="18" t="s">
        <v>33</v>
      </c>
      <c r="F12" s="17" t="s">
        <v>43</v>
      </c>
      <c r="G12" s="18" t="s">
        <v>54</v>
      </c>
      <c r="H12" s="17" t="s">
        <v>64</v>
      </c>
      <c r="I12" s="18" t="s">
        <v>75</v>
      </c>
      <c r="J12" s="17">
        <v>1</v>
      </c>
      <c r="K12" s="17"/>
    </row>
    <row r="13" spans="1:11" ht="15.75" thickBot="1" x14ac:dyDescent="0.3">
      <c r="A13" s="1"/>
      <c r="B13" s="23">
        <f>ROW(B13) - ROW($B$2)</f>
        <v>11</v>
      </c>
      <c r="C13" s="25" t="s">
        <v>7</v>
      </c>
      <c r="D13" s="15" t="s">
        <v>20</v>
      </c>
      <c r="E13" s="16" t="s">
        <v>34</v>
      </c>
      <c r="F13" s="15" t="s">
        <v>44</v>
      </c>
      <c r="G13" s="16" t="s">
        <v>55</v>
      </c>
      <c r="H13" s="15" t="s">
        <v>65</v>
      </c>
      <c r="I13" s="16" t="s">
        <v>80</v>
      </c>
      <c r="J13" s="15">
        <v>1</v>
      </c>
      <c r="K13" s="15"/>
    </row>
    <row r="14" spans="1:11" ht="24.75" thickBot="1" x14ac:dyDescent="0.3">
      <c r="A14" s="1"/>
      <c r="B14" s="23">
        <f t="shared" si="0"/>
        <v>12</v>
      </c>
      <c r="C14" s="24" t="s">
        <v>7</v>
      </c>
      <c r="D14" s="17" t="s">
        <v>21</v>
      </c>
      <c r="E14" s="18" t="s">
        <v>35</v>
      </c>
      <c r="F14" s="17" t="s">
        <v>80</v>
      </c>
      <c r="G14" s="18" t="s">
        <v>45</v>
      </c>
      <c r="H14" s="17" t="s">
        <v>66</v>
      </c>
      <c r="I14" s="18" t="s">
        <v>80</v>
      </c>
      <c r="J14" s="17">
        <v>1</v>
      </c>
      <c r="K14" s="17"/>
    </row>
    <row r="15" spans="1:11" ht="15.75" thickBot="1" x14ac:dyDescent="0.3">
      <c r="A15" s="1"/>
      <c r="B15" s="23">
        <f>ROW(B15) - ROW($B$2)</f>
        <v>13</v>
      </c>
      <c r="C15" s="25" t="s">
        <v>8</v>
      </c>
      <c r="D15" s="15" t="s">
        <v>22</v>
      </c>
      <c r="E15" s="16" t="s">
        <v>36</v>
      </c>
      <c r="F15" s="15" t="s">
        <v>80</v>
      </c>
      <c r="G15" s="16" t="s">
        <v>56</v>
      </c>
      <c r="H15" s="15" t="s">
        <v>67</v>
      </c>
      <c r="I15" s="16" t="s">
        <v>76</v>
      </c>
      <c r="J15" s="15">
        <v>1</v>
      </c>
      <c r="K15" s="15"/>
    </row>
    <row r="16" spans="1:11" ht="24.75" thickBot="1" x14ac:dyDescent="0.3">
      <c r="A16" s="1"/>
      <c r="B16" s="23">
        <f t="shared" ref="B16" si="1">ROW(B16) - ROW($B$2)</f>
        <v>14</v>
      </c>
      <c r="C16" s="25" t="s">
        <v>81</v>
      </c>
      <c r="D16" s="15" t="s">
        <v>80</v>
      </c>
      <c r="E16" s="15" t="s">
        <v>83</v>
      </c>
      <c r="F16" s="15" t="s">
        <v>80</v>
      </c>
      <c r="G16" s="16" t="s">
        <v>82</v>
      </c>
      <c r="H16" s="15" t="s">
        <v>84</v>
      </c>
      <c r="I16" s="16" t="s">
        <v>80</v>
      </c>
      <c r="J16" s="15">
        <v>1</v>
      </c>
      <c r="K16" s="15"/>
    </row>
    <row r="17" spans="1:11" x14ac:dyDescent="0.25">
      <c r="A17" s="1"/>
      <c r="B17" s="10"/>
      <c r="C17" s="21"/>
      <c r="D17" s="11"/>
      <c r="E17" s="12"/>
      <c r="F17" s="13"/>
      <c r="G17" s="14"/>
      <c r="H17" s="13"/>
      <c r="I17" s="14"/>
      <c r="J17" s="14"/>
      <c r="K17" s="19"/>
    </row>
    <row r="18" spans="1:11" ht="15.75" thickBot="1" x14ac:dyDescent="0.3">
      <c r="A18" s="1"/>
      <c r="B18" s="6"/>
      <c r="C18" s="22"/>
      <c r="D18" s="3"/>
      <c r="E18" s="4"/>
      <c r="F18" s="4"/>
      <c r="G18" s="4"/>
      <c r="H18" s="4"/>
      <c r="I18" s="4"/>
      <c r="J18" s="4"/>
      <c r="K18" s="20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2023-07-26T11:31:38Z</dcterms:modified>
</cp:coreProperties>
</file>