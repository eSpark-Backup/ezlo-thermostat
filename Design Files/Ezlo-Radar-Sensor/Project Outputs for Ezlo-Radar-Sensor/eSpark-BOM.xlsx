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thermostat\Design Files\Ezlo-Radar-Sensor\Project Outputs for Ezlo-Radar-Sensor\"/>
    </mc:Choice>
  </mc:AlternateContent>
  <xr:revisionPtr revIDLastSave="0" documentId="13_ncr:1_{2C62328C-75B7-4CAB-A95C-54A763E55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 Boards" sheetId="1" r:id="rId1"/>
    <sheet name="1000 Boards" sheetId="2" r:id="rId2"/>
  </sheets>
  <calcPr calcId="191029"/>
</workbook>
</file>

<file path=xl/calcChain.xml><?xml version="1.0" encoding="utf-8"?>
<calcChain xmlns="http://schemas.openxmlformats.org/spreadsheetml/2006/main">
  <c r="M11" i="2" l="1"/>
  <c r="M12" i="2"/>
  <c r="M13" i="2"/>
  <c r="M14" i="2"/>
  <c r="M15" i="2"/>
  <c r="M16" i="2"/>
  <c r="M17" i="2"/>
  <c r="M18" i="2"/>
  <c r="M19" i="2"/>
  <c r="M20" i="2"/>
  <c r="M21" i="2"/>
  <c r="M10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M11" i="1"/>
  <c r="M12" i="1"/>
  <c r="M13" i="1"/>
  <c r="M14" i="1"/>
  <c r="M15" i="1"/>
  <c r="M16" i="1"/>
  <c r="M17" i="1"/>
  <c r="M18" i="1"/>
  <c r="M19" i="1"/>
  <c r="M20" i="1"/>
  <c r="M21" i="1"/>
  <c r="M10" i="1"/>
  <c r="Q22" i="2" l="1"/>
  <c r="Q23" i="2" s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Q10" i="1"/>
  <c r="B11" i="1"/>
  <c r="B10" i="1"/>
  <c r="Q22" i="1" l="1"/>
  <c r="Q23" i="1" s="1"/>
</calcChain>
</file>

<file path=xl/sharedStrings.xml><?xml version="1.0" encoding="utf-8"?>
<sst xmlns="http://schemas.openxmlformats.org/spreadsheetml/2006/main" count="292" uniqueCount="110">
  <si>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</si>
  <si>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</si>
  <si>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</si>
  <si>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</si>
  <si>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</si>
  <si>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</si>
  <si>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</si>
  <si>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</si>
  <si>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</si>
  <si>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</si>
  <si>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Ferrite Bead</t>
  </si>
  <si>
    <t>FPC Connector</t>
  </si>
  <si>
    <t>Resistor</t>
  </si>
  <si>
    <t>IC</t>
  </si>
  <si>
    <t>Crystal</t>
  </si>
  <si>
    <t>Designator</t>
  </si>
  <si>
    <t>C1, C2, C4, C6, C8, C9, C10, C17</t>
  </si>
  <si>
    <t>C3</t>
  </si>
  <si>
    <t>C5, C11</t>
  </si>
  <si>
    <t>C7</t>
  </si>
  <si>
    <t>C12, C14, C15</t>
  </si>
  <si>
    <t>C13</t>
  </si>
  <si>
    <t>C16</t>
  </si>
  <si>
    <t>FB1, FB2, FB3, FB4, FB5, FB6, FB7</t>
  </si>
  <si>
    <t>J1</t>
  </si>
  <si>
    <t>R1</t>
  </si>
  <si>
    <t>U1</t>
  </si>
  <si>
    <t>X1</t>
  </si>
  <si>
    <t>Description</t>
  </si>
  <si>
    <t>CAP CER 1UF 10V X5R 0402</t>
  </si>
  <si>
    <t>CAP CER 10000PF 25V X7R 0402</t>
  </si>
  <si>
    <t>CAP CER 22UF 10V X5R 0603</t>
  </si>
  <si>
    <t>CAP CER 10UF 10V X5R 0603</t>
  </si>
  <si>
    <t>CAP CER 10UF 10V X5R 0402</t>
  </si>
  <si>
    <t>CAP CER 0.47UF 50V X5R 0402</t>
  </si>
  <si>
    <t>CAP CER 0.1UF 50V X7R 0402</t>
  </si>
  <si>
    <t>FERRITE BEAD 120 OHM 0402 1LN</t>
  </si>
  <si>
    <t>Clamshell 10 Bottom Contact Surface Mount 0.5mm SMD,P=0.5mm FFC/FPC Connectors ROHS</t>
  </si>
  <si>
    <t>RES SMD 150 OHM 5% 1/10W 0402</t>
  </si>
  <si>
    <t>Rf Transceiver PG-VF2BGA-40</t>
  </si>
  <si>
    <t>XTAL OSC XO 80.0000MHZ CMOS SMD</t>
  </si>
  <si>
    <t>Footprint</t>
  </si>
  <si>
    <t>Cap-0402</t>
  </si>
  <si>
    <t>Cap-0603</t>
  </si>
  <si>
    <t>IND-0402</t>
  </si>
  <si>
    <t>AFC01-S10FCC-00</t>
  </si>
  <si>
    <t>Res-0402</t>
  </si>
  <si>
    <t>pg-vf2bga-40</t>
  </si>
  <si>
    <t>Manufacturer Part Number</t>
  </si>
  <si>
    <t>CC0402KRX5R6BB105</t>
  </si>
  <si>
    <t>CC0402KRX7R8BB103</t>
  </si>
  <si>
    <t>CC0603MRX5R6BB226</t>
  </si>
  <si>
    <t>CC0603KRX5R6BB106</t>
  </si>
  <si>
    <t>CL05A106MP5NUNC</t>
  </si>
  <si>
    <t>UMK105ABJ474KV-F</t>
  </si>
  <si>
    <t>CL05B104KB54PNC</t>
  </si>
  <si>
    <t>BLM15PD121SN1D</t>
  </si>
  <si>
    <t>ERJ-2GEJ151X</t>
  </si>
  <si>
    <t>BGT60TR13CE6327XUMA1</t>
  </si>
  <si>
    <t>KC2016K80.0000C1GE00</t>
  </si>
  <si>
    <t>Manufacturer</t>
  </si>
  <si>
    <t>Yageo</t>
  </si>
  <si>
    <t>Samsung</t>
  </si>
  <si>
    <t>Taiyo Yuden</t>
  </si>
  <si>
    <t>Murata</t>
  </si>
  <si>
    <t>JUSHUO</t>
  </si>
  <si>
    <t>Panasonic</t>
  </si>
  <si>
    <t>Infineon</t>
  </si>
  <si>
    <t>Kyocera AVX</t>
  </si>
  <si>
    <t>LCSC Part Number</t>
  </si>
  <si>
    <t>C106254</t>
  </si>
  <si>
    <t>C327025</t>
  </si>
  <si>
    <t>C109447</t>
  </si>
  <si>
    <t>C326057</t>
  </si>
  <si>
    <t>C315248</t>
  </si>
  <si>
    <t>C386109</t>
  </si>
  <si>
    <t>C307331</t>
  </si>
  <si>
    <t>C76891</t>
  </si>
  <si>
    <t>C262266</t>
  </si>
  <si>
    <t>C412976</t>
  </si>
  <si>
    <t>C3606641</t>
  </si>
  <si>
    <t>C1988243</t>
  </si>
  <si>
    <t>1uF</t>
  </si>
  <si>
    <t>10nF</t>
  </si>
  <si>
    <t>22uF</t>
  </si>
  <si>
    <t>10uF</t>
  </si>
  <si>
    <t>0.47uF</t>
  </si>
  <si>
    <t>0.1uF</t>
  </si>
  <si>
    <t>100MHz</t>
  </si>
  <si>
    <t>150R</t>
  </si>
  <si>
    <t>80MHz</t>
  </si>
  <si>
    <t>Quantity</t>
  </si>
  <si>
    <t>Alternate Part Number</t>
  </si>
  <si>
    <t>Value</t>
  </si>
  <si>
    <t>Quantity (10 Boards)</t>
  </si>
  <si>
    <t>MOQ (10 Boards)</t>
  </si>
  <si>
    <t>Links</t>
  </si>
  <si>
    <t>Unit Cost (10 Boards)</t>
  </si>
  <si>
    <t>Total Cost (10 Boards)</t>
  </si>
  <si>
    <t>Remarks</t>
  </si>
  <si>
    <t>Reviewer Remarks</t>
  </si>
  <si>
    <t>-</t>
  </si>
  <si>
    <t>Bill of Materials for Project [Ezlo-Radar-Sensor.PrjPcb]</t>
  </si>
  <si>
    <t>Ezlo-Radar-Sensor</t>
  </si>
  <si>
    <t>Custom</t>
  </si>
  <si>
    <t>LCSC</t>
  </si>
  <si>
    <t>Quantity (1000 Boards)</t>
  </si>
  <si>
    <t>MOQ (1000 Boards)</t>
  </si>
  <si>
    <t>Unit Cost (1000 Boards)</t>
  </si>
  <si>
    <t>Total Cost (1000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</si>
</sst>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4" borderId="6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5" borderId="20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4" borderId="17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0" borderId="1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11" fillId="5" borderId="17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22" fillId="4" borderId="17" xfId="1" applyFill="1" applyBorder="1" applyAlignment="1">
      <alignment horizontal="center" vertical="center"/>
    </xf>
    <xf numFmtId="165" fontId="18" fillId="4" borderId="6" xfId="0" applyNumberFormat="1" applyFont="1" applyFill="1" applyBorder="1" applyAlignment="1">
      <alignment horizontal="center" vertical="center"/>
    </xf>
    <xf numFmtId="165" fontId="18" fillId="4" borderId="17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1" fillId="4" borderId="17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20" fillId="3" borderId="14" xfId="0" applyFont="1" applyFill="1" applyBorder="1" applyAlignment="1" applyProtection="1">
      <alignment horizontal="center" vertical="top"/>
      <protection locked="0"/>
    </xf>
    <xf numFmtId="0" fontId="20" fillId="3" borderId="3" xfId="0" applyFont="1" applyFill="1" applyBorder="1" applyAlignment="1" applyProtection="1">
      <alignment horizontal="center" vertical="top"/>
      <protection locked="0"/>
    </xf>
    <xf numFmtId="166" fontId="15" fillId="3" borderId="21" xfId="0" quotePrefix="1" applyNumberFormat="1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165" fontId="18" fillId="4" borderId="22" xfId="0" applyNumberFormat="1" applyFont="1" applyFill="1" applyBorder="1" applyAlignment="1">
      <alignment horizontal="center" vertical="center"/>
    </xf>
    <xf numFmtId="165" fontId="18" fillId="4" borderId="19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41EDC-F584-47F9-A944-BF2EB058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64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errite-Beads_Murata-Electronics-BLM15PD121SN1D_C76891.html" TargetMode="External"/><Relationship Id="rId3" Type="http://schemas.openxmlformats.org/officeDocument/2006/relationships/hyperlink" Target="https://www.lcsc.com/product-detail/Multilayer-Ceramic-Capacitors-MLCC-SMD-SMT_YAGEO-CC0603MRX5R6BB226_C109447.html" TargetMode="External"/><Relationship Id="rId7" Type="http://schemas.openxmlformats.org/officeDocument/2006/relationships/hyperlink" Target="https://www.lcsc.com/product-detail/Multilayer-Ceramic-Capacitors-MLCC-SMD-SMT_Samsung-Electro-Mechanics-CL05B104KB54PNC_C307331.htm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Multilayer-Ceramic-Capacitors-MLCC-SMD-SMT_Taiyo-Yuden-UMK105ABJ474KV-F_C386109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Samsung-Electro-Mechanics-CL05A106MP5NUNC_C315248.html" TargetMode="External"/><Relationship Id="rId10" Type="http://schemas.openxmlformats.org/officeDocument/2006/relationships/hyperlink" Target="https://www.lcsc.com/product-detail/Chip-Resistor-Surface-Mount_PANASONIC-ERJ2GEJ151X_C412976.html" TargetMode="External"/><Relationship Id="rId4" Type="http://schemas.openxmlformats.org/officeDocument/2006/relationships/hyperlink" Target="https://www.lcsc.com/product-detail/Multilayer-Ceramic-Capacitors-MLCC-SMD-SMT_YAGEO-CC0603KRX5R6BB106_C326057.html" TargetMode="External"/><Relationship Id="rId9" Type="http://schemas.openxmlformats.org/officeDocument/2006/relationships/hyperlink" Target="https://www.lcsc.com/product-detail/FFC-FPC-Connectors_JUSHUO-AFC01-S10FCC-00_C26226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errite-Beads_Murata-Electronics-BLM15PD121SN1D_C76891.html" TargetMode="External"/><Relationship Id="rId3" Type="http://schemas.openxmlformats.org/officeDocument/2006/relationships/hyperlink" Target="https://www.lcsc.com/product-detail/Multilayer-Ceramic-Capacitors-MLCC-SMD-SMT_YAGEO-CC0603MRX5R6BB226_C109447.html" TargetMode="External"/><Relationship Id="rId7" Type="http://schemas.openxmlformats.org/officeDocument/2006/relationships/hyperlink" Target="https://www.lcsc.com/product-detail/Multilayer-Ceramic-Capacitors-MLCC-SMD-SMT_Samsung-Electro-Mechanics-CL05B104KB54PNC_C307331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Multilayer-Ceramic-Capacitors-MLCC-SMD-SMT_Taiyo-Yuden-UMK105ABJ474KV-F_C386109.html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Samsung-Electro-Mechanics-CL05A106MP5NUNC_C315248.html" TargetMode="External"/><Relationship Id="rId10" Type="http://schemas.openxmlformats.org/officeDocument/2006/relationships/hyperlink" Target="https://www.lcsc.com/product-detail/Chip-Resistor-Surface-Mount_PANASONIC-ERJ2GEJ151X_C412976.html" TargetMode="External"/><Relationship Id="rId4" Type="http://schemas.openxmlformats.org/officeDocument/2006/relationships/hyperlink" Target="https://www.lcsc.com/product-detail/Multilayer-Ceramic-Capacitors-MLCC-SMD-SMT_YAGEO-CC0603KRX5R6BB106_C326057.html" TargetMode="External"/><Relationship Id="rId9" Type="http://schemas.openxmlformats.org/officeDocument/2006/relationships/hyperlink" Target="https://www.lcsc.com/product-detail/FFC-FPC-Connectors_JUSHUO-AFC01-S10FCC-00_C262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3"/>
  <sheetViews>
    <sheetView tabSelected="1" topLeftCell="E1" workbookViewId="0">
      <selection activeCell="L15" sqref="L1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32.2851562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1"/>
      <c r="L1" s="61"/>
      <c r="M1" s="61"/>
      <c r="N1" s="61"/>
      <c r="O1" s="61"/>
      <c r="P1" s="61"/>
      <c r="Q1" s="61"/>
      <c r="R1" s="61"/>
      <c r="S1" s="62"/>
    </row>
    <row r="2" spans="1:19" ht="32.25" thickBot="1" x14ac:dyDescent="0.3">
      <c r="A2" s="1"/>
      <c r="B2" s="21"/>
      <c r="C2" s="32"/>
      <c r="D2" s="11" t="s">
        <v>0</v>
      </c>
      <c r="E2" s="11"/>
      <c r="F2" s="57" t="s">
        <v>102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58" t="s">
        <v>103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3"/>
    </row>
    <row r="4" spans="1:19" x14ac:dyDescent="0.25">
      <c r="A4" s="1"/>
      <c r="B4" s="22"/>
      <c r="C4" s="33"/>
      <c r="D4" s="13" t="s">
        <v>2</v>
      </c>
      <c r="E4" s="13"/>
      <c r="F4" s="59" t="s">
        <v>103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4"/>
    </row>
    <row r="5" spans="1:19" x14ac:dyDescent="0.25">
      <c r="A5" s="1"/>
      <c r="B5" s="22"/>
      <c r="C5" s="33"/>
      <c r="D5" s="13" t="s">
        <v>3</v>
      </c>
      <c r="E5" s="13"/>
      <c r="F5" s="60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4"/>
    </row>
    <row r="9" spans="1:19" ht="15.75" thickBot="1" x14ac:dyDescent="0.3">
      <c r="A9" s="1"/>
      <c r="B9" s="30" t="s">
        <v>4</v>
      </c>
      <c r="C9" s="30" t="s">
        <v>8</v>
      </c>
      <c r="D9" s="31" t="s">
        <v>15</v>
      </c>
      <c r="E9" s="30" t="s">
        <v>28</v>
      </c>
      <c r="F9" s="31" t="s">
        <v>41</v>
      </c>
      <c r="G9" s="30" t="s">
        <v>48</v>
      </c>
      <c r="H9" s="31" t="s">
        <v>60</v>
      </c>
      <c r="I9" s="30" t="s">
        <v>92</v>
      </c>
      <c r="J9" s="31" t="s">
        <v>69</v>
      </c>
      <c r="K9" s="71" t="s">
        <v>93</v>
      </c>
      <c r="L9" s="71" t="s">
        <v>91</v>
      </c>
      <c r="M9" s="30" t="s">
        <v>94</v>
      </c>
      <c r="N9" s="31" t="s">
        <v>95</v>
      </c>
      <c r="O9" s="30" t="s">
        <v>96</v>
      </c>
      <c r="P9" s="31" t="s">
        <v>97</v>
      </c>
      <c r="Q9" s="30" t="s">
        <v>98</v>
      </c>
      <c r="R9" s="31" t="s">
        <v>99</v>
      </c>
      <c r="S9" s="30" t="s">
        <v>100</v>
      </c>
    </row>
    <row r="10" spans="1:19" x14ac:dyDescent="0.25">
      <c r="A10" s="1"/>
      <c r="B10" s="51">
        <f>ROW(B10) - ROW($B$9)</f>
        <v>1</v>
      </c>
      <c r="C10" s="73" t="s">
        <v>9</v>
      </c>
      <c r="D10" s="38" t="s">
        <v>16</v>
      </c>
      <c r="E10" s="38" t="s">
        <v>29</v>
      </c>
      <c r="F10" s="39" t="s">
        <v>42</v>
      </c>
      <c r="G10" s="38" t="s">
        <v>49</v>
      </c>
      <c r="H10" s="39" t="s">
        <v>61</v>
      </c>
      <c r="I10" s="38" t="s">
        <v>101</v>
      </c>
      <c r="J10" s="39" t="s">
        <v>70</v>
      </c>
      <c r="K10" s="38" t="s">
        <v>82</v>
      </c>
      <c r="L10" s="39">
        <v>8</v>
      </c>
      <c r="M10" s="38">
        <f>L10*10</f>
        <v>80</v>
      </c>
      <c r="N10" s="39">
        <v>100</v>
      </c>
      <c r="O10" s="77" t="s">
        <v>105</v>
      </c>
      <c r="P10" s="53">
        <v>2E-3</v>
      </c>
      <c r="Q10" s="42">
        <f>P10*N10</f>
        <v>0.2</v>
      </c>
      <c r="R10" s="39"/>
      <c r="S10" s="44"/>
    </row>
    <row r="11" spans="1:19" x14ac:dyDescent="0.25">
      <c r="A11" s="1"/>
      <c r="B11" s="52">
        <f t="shared" ref="B11:B21" si="0">ROW(B11) - ROW($B$9)</f>
        <v>2</v>
      </c>
      <c r="C11" s="74" t="s">
        <v>9</v>
      </c>
      <c r="D11" s="40" t="s">
        <v>17</v>
      </c>
      <c r="E11" s="40" t="s">
        <v>30</v>
      </c>
      <c r="F11" s="41" t="s">
        <v>42</v>
      </c>
      <c r="G11" s="40" t="s">
        <v>50</v>
      </c>
      <c r="H11" s="41" t="s">
        <v>61</v>
      </c>
      <c r="I11" s="40" t="s">
        <v>101</v>
      </c>
      <c r="J11" s="41" t="s">
        <v>71</v>
      </c>
      <c r="K11" s="40" t="s">
        <v>83</v>
      </c>
      <c r="L11" s="41">
        <v>1</v>
      </c>
      <c r="M11" s="40">
        <f t="shared" ref="M11:M21" si="1">L11*10</f>
        <v>10</v>
      </c>
      <c r="N11" s="41">
        <v>100</v>
      </c>
      <c r="O11" s="78" t="s">
        <v>105</v>
      </c>
      <c r="P11" s="54">
        <v>1.1999999999999999E-3</v>
      </c>
      <c r="Q11" s="43">
        <f t="shared" ref="Q11" si="2">P11*N11</f>
        <v>0.12</v>
      </c>
      <c r="R11" s="41"/>
      <c r="S11" s="40"/>
    </row>
    <row r="12" spans="1:19" x14ac:dyDescent="0.25">
      <c r="A12" s="1"/>
      <c r="B12" s="51">
        <f>ROW(B12) - ROW($B$9)</f>
        <v>3</v>
      </c>
      <c r="C12" s="73" t="s">
        <v>9</v>
      </c>
      <c r="D12" s="38" t="s">
        <v>18</v>
      </c>
      <c r="E12" s="38" t="s">
        <v>31</v>
      </c>
      <c r="F12" s="39" t="s">
        <v>43</v>
      </c>
      <c r="G12" s="38" t="s">
        <v>51</v>
      </c>
      <c r="H12" s="39" t="s">
        <v>61</v>
      </c>
      <c r="I12" s="38" t="s">
        <v>101</v>
      </c>
      <c r="J12" s="39" t="s">
        <v>72</v>
      </c>
      <c r="K12" s="38" t="s">
        <v>84</v>
      </c>
      <c r="L12" s="39">
        <v>2</v>
      </c>
      <c r="M12" s="38">
        <f t="shared" si="1"/>
        <v>20</v>
      </c>
      <c r="N12" s="39">
        <v>40</v>
      </c>
      <c r="O12" s="77" t="s">
        <v>105</v>
      </c>
      <c r="P12" s="53">
        <v>4.19E-2</v>
      </c>
      <c r="Q12" s="42">
        <f>P12*N12</f>
        <v>1.6759999999999999</v>
      </c>
      <c r="R12" s="39"/>
      <c r="S12" s="38"/>
    </row>
    <row r="13" spans="1:19" x14ac:dyDescent="0.25">
      <c r="A13" s="1"/>
      <c r="B13" s="52">
        <f t="shared" si="0"/>
        <v>4</v>
      </c>
      <c r="C13" s="74" t="s">
        <v>9</v>
      </c>
      <c r="D13" s="40" t="s">
        <v>19</v>
      </c>
      <c r="E13" s="40" t="s">
        <v>32</v>
      </c>
      <c r="F13" s="41" t="s">
        <v>43</v>
      </c>
      <c r="G13" s="40" t="s">
        <v>52</v>
      </c>
      <c r="H13" s="41" t="s">
        <v>61</v>
      </c>
      <c r="I13" s="40" t="s">
        <v>101</v>
      </c>
      <c r="J13" s="41" t="s">
        <v>73</v>
      </c>
      <c r="K13" s="40" t="s">
        <v>85</v>
      </c>
      <c r="L13" s="41">
        <v>1</v>
      </c>
      <c r="M13" s="40">
        <f t="shared" si="1"/>
        <v>10</v>
      </c>
      <c r="N13" s="41">
        <v>20</v>
      </c>
      <c r="O13" s="78" t="s">
        <v>105</v>
      </c>
      <c r="P13" s="54">
        <v>2.4299999999999999E-2</v>
      </c>
      <c r="Q13" s="43">
        <f t="shared" ref="Q13" si="3">P13*N13</f>
        <v>0.48599999999999999</v>
      </c>
      <c r="R13" s="41"/>
      <c r="S13" s="40"/>
    </row>
    <row r="14" spans="1:19" x14ac:dyDescent="0.25">
      <c r="A14" s="1"/>
      <c r="B14" s="51">
        <f>ROW(B14) - ROW($B$9)</f>
        <v>5</v>
      </c>
      <c r="C14" s="73" t="s">
        <v>9</v>
      </c>
      <c r="D14" s="38" t="s">
        <v>20</v>
      </c>
      <c r="E14" s="38" t="s">
        <v>33</v>
      </c>
      <c r="F14" s="39" t="s">
        <v>42</v>
      </c>
      <c r="G14" s="38" t="s">
        <v>53</v>
      </c>
      <c r="H14" s="39" t="s">
        <v>62</v>
      </c>
      <c r="I14" s="38" t="s">
        <v>101</v>
      </c>
      <c r="J14" s="39" t="s">
        <v>74</v>
      </c>
      <c r="K14" s="38" t="s">
        <v>85</v>
      </c>
      <c r="L14" s="39">
        <v>3</v>
      </c>
      <c r="M14" s="38">
        <f t="shared" si="1"/>
        <v>30</v>
      </c>
      <c r="N14" s="39">
        <v>50</v>
      </c>
      <c r="O14" s="77" t="s">
        <v>105</v>
      </c>
      <c r="P14" s="53">
        <v>9.9000000000000008E-3</v>
      </c>
      <c r="Q14" s="42">
        <f>P14*N14</f>
        <v>0.49500000000000005</v>
      </c>
      <c r="R14" s="39"/>
      <c r="S14" s="38"/>
    </row>
    <row r="15" spans="1:19" x14ac:dyDescent="0.25">
      <c r="A15" s="1"/>
      <c r="B15" s="52">
        <f t="shared" si="0"/>
        <v>6</v>
      </c>
      <c r="C15" s="74" t="s">
        <v>9</v>
      </c>
      <c r="D15" s="40" t="s">
        <v>21</v>
      </c>
      <c r="E15" s="40" t="s">
        <v>34</v>
      </c>
      <c r="F15" s="41" t="s">
        <v>42</v>
      </c>
      <c r="G15" s="40" t="s">
        <v>54</v>
      </c>
      <c r="H15" s="41" t="s">
        <v>63</v>
      </c>
      <c r="I15" s="40" t="s">
        <v>101</v>
      </c>
      <c r="J15" s="41" t="s">
        <v>75</v>
      </c>
      <c r="K15" s="40" t="s">
        <v>86</v>
      </c>
      <c r="L15" s="41">
        <v>1</v>
      </c>
      <c r="M15" s="40">
        <f t="shared" si="1"/>
        <v>10</v>
      </c>
      <c r="N15" s="41">
        <v>20</v>
      </c>
      <c r="O15" s="78" t="s">
        <v>105</v>
      </c>
      <c r="P15" s="54">
        <v>2.5600000000000001E-2</v>
      </c>
      <c r="Q15" s="43">
        <f t="shared" ref="Q15" si="4">P15*N15</f>
        <v>0.51200000000000001</v>
      </c>
      <c r="R15" s="41"/>
      <c r="S15" s="40"/>
    </row>
    <row r="16" spans="1:19" x14ac:dyDescent="0.25">
      <c r="A16" s="1"/>
      <c r="B16" s="51">
        <f>ROW(B16) - ROW($B$9)</f>
        <v>7</v>
      </c>
      <c r="C16" s="73" t="s">
        <v>9</v>
      </c>
      <c r="D16" s="38" t="s">
        <v>22</v>
      </c>
      <c r="E16" s="38" t="s">
        <v>35</v>
      </c>
      <c r="F16" s="39" t="s">
        <v>42</v>
      </c>
      <c r="G16" s="38" t="s">
        <v>55</v>
      </c>
      <c r="H16" s="39" t="s">
        <v>62</v>
      </c>
      <c r="I16" s="38" t="s">
        <v>101</v>
      </c>
      <c r="J16" s="39" t="s">
        <v>76</v>
      </c>
      <c r="K16" s="38" t="s">
        <v>87</v>
      </c>
      <c r="L16" s="39">
        <v>1</v>
      </c>
      <c r="M16" s="38">
        <f t="shared" si="1"/>
        <v>10</v>
      </c>
      <c r="N16" s="39">
        <v>100</v>
      </c>
      <c r="O16" s="77" t="s">
        <v>105</v>
      </c>
      <c r="P16" s="53">
        <v>6.6E-3</v>
      </c>
      <c r="Q16" s="42">
        <f>P16*N16</f>
        <v>0.66</v>
      </c>
      <c r="R16" s="39"/>
      <c r="S16" s="38"/>
    </row>
    <row r="17" spans="1:19" x14ac:dyDescent="0.25">
      <c r="A17" s="1"/>
      <c r="B17" s="52">
        <f t="shared" si="0"/>
        <v>8</v>
      </c>
      <c r="C17" s="75" t="s">
        <v>10</v>
      </c>
      <c r="D17" s="40" t="s">
        <v>23</v>
      </c>
      <c r="E17" s="40" t="s">
        <v>36</v>
      </c>
      <c r="F17" s="41" t="s">
        <v>44</v>
      </c>
      <c r="G17" s="40" t="s">
        <v>56</v>
      </c>
      <c r="H17" s="41" t="s">
        <v>64</v>
      </c>
      <c r="I17" s="40" t="s">
        <v>101</v>
      </c>
      <c r="J17" s="41" t="s">
        <v>77</v>
      </c>
      <c r="K17" s="40" t="s">
        <v>88</v>
      </c>
      <c r="L17" s="41">
        <v>7</v>
      </c>
      <c r="M17" s="40">
        <f t="shared" si="1"/>
        <v>70</v>
      </c>
      <c r="N17" s="41">
        <v>100</v>
      </c>
      <c r="O17" s="78" t="s">
        <v>105</v>
      </c>
      <c r="P17" s="54">
        <v>5.7000000000000002E-3</v>
      </c>
      <c r="Q17" s="43">
        <f t="shared" ref="Q17" si="5">P17*N17</f>
        <v>0.57000000000000006</v>
      </c>
      <c r="R17" s="41"/>
      <c r="S17" s="40"/>
    </row>
    <row r="18" spans="1:19" ht="36" x14ac:dyDescent="0.25">
      <c r="A18" s="1"/>
      <c r="B18" s="51">
        <f>ROW(B18) - ROW($B$9)</f>
        <v>9</v>
      </c>
      <c r="C18" s="76" t="s">
        <v>11</v>
      </c>
      <c r="D18" s="38" t="s">
        <v>24</v>
      </c>
      <c r="E18" s="38" t="s">
        <v>37</v>
      </c>
      <c r="F18" s="39" t="s">
        <v>104</v>
      </c>
      <c r="G18" s="38" t="s">
        <v>45</v>
      </c>
      <c r="H18" s="39" t="s">
        <v>65</v>
      </c>
      <c r="I18" s="38" t="s">
        <v>101</v>
      </c>
      <c r="J18" s="39" t="s">
        <v>78</v>
      </c>
      <c r="K18" s="38" t="s">
        <v>101</v>
      </c>
      <c r="L18" s="39">
        <v>1</v>
      </c>
      <c r="M18" s="38">
        <f t="shared" si="1"/>
        <v>10</v>
      </c>
      <c r="N18" s="39">
        <v>61</v>
      </c>
      <c r="O18" s="77" t="s">
        <v>105</v>
      </c>
      <c r="P18" s="53">
        <v>9.1499999999999998E-2</v>
      </c>
      <c r="Q18" s="42">
        <f>P18*N18</f>
        <v>5.5815000000000001</v>
      </c>
      <c r="R18" s="39"/>
      <c r="S18" s="38"/>
    </row>
    <row r="19" spans="1:19" x14ac:dyDescent="0.25">
      <c r="A19" s="1"/>
      <c r="B19" s="52">
        <f t="shared" si="0"/>
        <v>10</v>
      </c>
      <c r="C19" s="75" t="s">
        <v>12</v>
      </c>
      <c r="D19" s="40" t="s">
        <v>25</v>
      </c>
      <c r="E19" s="40" t="s">
        <v>38</v>
      </c>
      <c r="F19" s="41" t="s">
        <v>46</v>
      </c>
      <c r="G19" s="40" t="s">
        <v>57</v>
      </c>
      <c r="H19" s="41" t="s">
        <v>66</v>
      </c>
      <c r="I19" s="40" t="s">
        <v>101</v>
      </c>
      <c r="J19" s="41" t="s">
        <v>79</v>
      </c>
      <c r="K19" s="40" t="s">
        <v>89</v>
      </c>
      <c r="L19" s="41">
        <v>1</v>
      </c>
      <c r="M19" s="40">
        <f t="shared" si="1"/>
        <v>10</v>
      </c>
      <c r="N19" s="41">
        <v>50</v>
      </c>
      <c r="O19" s="78" t="s">
        <v>105</v>
      </c>
      <c r="P19" s="54">
        <v>4.1999999999999997E-3</v>
      </c>
      <c r="Q19" s="43">
        <f t="shared" ref="Q19" si="6">P19*N19</f>
        <v>0.21</v>
      </c>
      <c r="R19" s="41"/>
      <c r="S19" s="40"/>
    </row>
    <row r="20" spans="1:19" x14ac:dyDescent="0.25">
      <c r="A20" s="1"/>
      <c r="B20" s="51">
        <f>ROW(B20) - ROW($B$9)</f>
        <v>11</v>
      </c>
      <c r="C20" s="76" t="s">
        <v>13</v>
      </c>
      <c r="D20" s="38" t="s">
        <v>26</v>
      </c>
      <c r="E20" s="38" t="s">
        <v>39</v>
      </c>
      <c r="F20" s="39" t="s">
        <v>47</v>
      </c>
      <c r="G20" s="38" t="s">
        <v>58</v>
      </c>
      <c r="H20" s="39" t="s">
        <v>67</v>
      </c>
      <c r="I20" s="38" t="s">
        <v>101</v>
      </c>
      <c r="J20" s="39" t="s">
        <v>80</v>
      </c>
      <c r="K20" s="38" t="s">
        <v>101</v>
      </c>
      <c r="L20" s="39">
        <v>1</v>
      </c>
      <c r="M20" s="38">
        <f t="shared" si="1"/>
        <v>10</v>
      </c>
      <c r="N20" s="39"/>
      <c r="O20" s="38"/>
      <c r="P20" s="53"/>
      <c r="Q20" s="42">
        <f>P20*N20</f>
        <v>0</v>
      </c>
      <c r="R20" s="39"/>
      <c r="S20" s="38"/>
    </row>
    <row r="21" spans="1:19" ht="15.75" thickBot="1" x14ac:dyDescent="0.3">
      <c r="A21" s="1"/>
      <c r="B21" s="52">
        <f t="shared" si="0"/>
        <v>12</v>
      </c>
      <c r="C21" s="75" t="s">
        <v>14</v>
      </c>
      <c r="D21" s="40" t="s">
        <v>27</v>
      </c>
      <c r="E21" s="40" t="s">
        <v>40</v>
      </c>
      <c r="F21" s="41" t="s">
        <v>104</v>
      </c>
      <c r="G21" s="40" t="s">
        <v>59</v>
      </c>
      <c r="H21" s="41" t="s">
        <v>68</v>
      </c>
      <c r="I21" s="40" t="s">
        <v>101</v>
      </c>
      <c r="J21" s="41" t="s">
        <v>81</v>
      </c>
      <c r="K21" s="40" t="s">
        <v>90</v>
      </c>
      <c r="L21" s="41">
        <v>1</v>
      </c>
      <c r="M21" s="72">
        <f t="shared" si="1"/>
        <v>10</v>
      </c>
      <c r="N21" s="41"/>
      <c r="O21" s="40"/>
      <c r="P21" s="54"/>
      <c r="Q21" s="43">
        <f t="shared" ref="Q21" si="7">P21*N21</f>
        <v>0</v>
      </c>
      <c r="R21" s="41"/>
      <c r="S21" s="72"/>
    </row>
    <row r="22" spans="1:19" ht="19.5" thickBot="1" x14ac:dyDescent="0.3">
      <c r="A22" s="1"/>
      <c r="B22" s="45"/>
      <c r="C22" s="46"/>
      <c r="D22" s="47"/>
      <c r="E22" s="48"/>
      <c r="F22" s="49"/>
      <c r="G22" s="50"/>
      <c r="H22" s="49"/>
      <c r="I22" s="50"/>
      <c r="J22" s="49"/>
      <c r="K22" s="50"/>
      <c r="L22" s="50"/>
      <c r="M22" s="50"/>
      <c r="N22" s="69" t="s">
        <v>5</v>
      </c>
      <c r="O22" s="70"/>
      <c r="P22" s="70"/>
      <c r="Q22" s="55">
        <f>SUM(Q10:Q21)</f>
        <v>10.5105</v>
      </c>
      <c r="R22" s="65"/>
      <c r="S22" s="66"/>
    </row>
    <row r="23" spans="1:19" ht="19.5" thickBot="1" x14ac:dyDescent="0.3">
      <c r="A23" s="1"/>
      <c r="B23" s="25"/>
      <c r="C23" s="37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69" t="s">
        <v>6</v>
      </c>
      <c r="O23" s="70"/>
      <c r="P23" s="70"/>
      <c r="Q23" s="56">
        <f>Q22/10</f>
        <v>1.05105</v>
      </c>
      <c r="R23" s="67"/>
      <c r="S23" s="68"/>
    </row>
  </sheetData>
  <mergeCells count="5">
    <mergeCell ref="K1:S1"/>
    <mergeCell ref="S3:S8"/>
    <mergeCell ref="R22:S23"/>
    <mergeCell ref="N22:P22"/>
    <mergeCell ref="N23:P23"/>
  </mergeCells>
  <hyperlinks>
    <hyperlink ref="O10" r:id="rId1" xr:uid="{8D2FB7B3-5497-4892-94A0-685942AD8F20}"/>
    <hyperlink ref="O11" r:id="rId2" xr:uid="{897FE6A0-A0CD-4ECE-84EA-106137AD5E12}"/>
    <hyperlink ref="O12" r:id="rId3" xr:uid="{ABE5FD74-F03F-4668-BCEA-2CCADC820A1C}"/>
    <hyperlink ref="O13" r:id="rId4" xr:uid="{037BFC5C-35B9-4475-87A2-D2D52ABF3B78}"/>
    <hyperlink ref="O14" r:id="rId5" xr:uid="{C0441405-5450-4B44-A768-136FBA22E13D}"/>
    <hyperlink ref="O15" r:id="rId6" xr:uid="{997A6499-8A85-4F11-A1C0-659F37BCDF47}"/>
    <hyperlink ref="O16" r:id="rId7" xr:uid="{B2B4B4D1-3621-40F1-BAA1-56709C1EB6B3}"/>
    <hyperlink ref="O17" r:id="rId8" xr:uid="{3B72AF33-B920-4BFB-ADC6-8D72FDD02BDA}"/>
    <hyperlink ref="O18" r:id="rId9" xr:uid="{123B586C-4B24-4DA7-9E7B-AEB3318E9AC5}"/>
    <hyperlink ref="O19" r:id="rId10" xr:uid="{51846484-CE84-40DA-AF1B-26D70B22E9C3}"/>
  </hyperlinks>
  <pageMargins left="0.7" right="0.7" top="0.75" bottom="0.75" header="0.3" footer="0.3"/>
  <pageSetup paperSize="9" orientation="portrait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D942-A413-440E-98EA-CC95081980EF}">
  <dimension ref="A1:S23"/>
  <sheetViews>
    <sheetView workbookViewId="0">
      <selection activeCell="A18" sqref="A18"/>
    </sheetView>
  </sheetViews>
  <sheetFormatPr defaultRowHeight="15" x14ac:dyDescent="0.25"/>
  <cols>
    <col min="2" max="2" width="3" bestFit="1" customWidth="1"/>
    <col min="3" max="3" width="16.5703125" customWidth="1"/>
    <col min="4" max="4" width="31.140625" bestFit="1" customWidth="1"/>
    <col min="5" max="5" width="28.42578125" customWidth="1"/>
    <col min="6" max="6" width="11.42578125" customWidth="1"/>
    <col min="7" max="7" width="25.28515625" bestFit="1" customWidth="1"/>
    <col min="8" max="8" width="14.7109375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5.42578125" bestFit="1" customWidth="1"/>
    <col min="16" max="16" width="21.85546875" bestFit="1" customWidth="1"/>
    <col min="17" max="17" width="22.42578125" bestFit="1" customWidth="1"/>
    <col min="18" max="18" width="8.5703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1"/>
      <c r="L1" s="61"/>
      <c r="M1" s="61"/>
      <c r="N1" s="61"/>
      <c r="O1" s="61"/>
      <c r="P1" s="61"/>
      <c r="Q1" s="61"/>
      <c r="R1" s="61"/>
      <c r="S1" s="62"/>
    </row>
    <row r="2" spans="1:19" ht="32.25" thickBot="1" x14ac:dyDescent="0.3">
      <c r="A2" s="1"/>
      <c r="B2" s="21"/>
      <c r="C2" s="32"/>
      <c r="D2" s="11" t="s">
        <v>0</v>
      </c>
      <c r="E2" s="11"/>
      <c r="F2" s="57" t="s">
        <v>102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58" t="s">
        <v>103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3"/>
    </row>
    <row r="4" spans="1:19" x14ac:dyDescent="0.25">
      <c r="A4" s="1"/>
      <c r="B4" s="22"/>
      <c r="C4" s="33"/>
      <c r="D4" s="13" t="s">
        <v>2</v>
      </c>
      <c r="E4" s="13"/>
      <c r="F4" s="59" t="s">
        <v>103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4"/>
    </row>
    <row r="5" spans="1:19" x14ac:dyDescent="0.25">
      <c r="A5" s="1"/>
      <c r="B5" s="22"/>
      <c r="C5" s="33"/>
      <c r="D5" s="13" t="s">
        <v>3</v>
      </c>
      <c r="E5" s="13"/>
      <c r="F5" s="60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4"/>
    </row>
    <row r="9" spans="1:19" ht="15.75" thickBot="1" x14ac:dyDescent="0.3">
      <c r="A9" s="1"/>
      <c r="B9" s="30" t="s">
        <v>4</v>
      </c>
      <c r="C9" s="30" t="s">
        <v>8</v>
      </c>
      <c r="D9" s="31" t="s">
        <v>15</v>
      </c>
      <c r="E9" s="30" t="s">
        <v>28</v>
      </c>
      <c r="F9" s="31" t="s">
        <v>41</v>
      </c>
      <c r="G9" s="30" t="s">
        <v>48</v>
      </c>
      <c r="H9" s="31" t="s">
        <v>60</v>
      </c>
      <c r="I9" s="30" t="s">
        <v>92</v>
      </c>
      <c r="J9" s="31" t="s">
        <v>69</v>
      </c>
      <c r="K9" s="71" t="s">
        <v>93</v>
      </c>
      <c r="L9" s="71" t="s">
        <v>91</v>
      </c>
      <c r="M9" s="30" t="s">
        <v>106</v>
      </c>
      <c r="N9" s="31" t="s">
        <v>107</v>
      </c>
      <c r="O9" s="30" t="s">
        <v>96</v>
      </c>
      <c r="P9" s="31" t="s">
        <v>108</v>
      </c>
      <c r="Q9" s="30" t="s">
        <v>109</v>
      </c>
      <c r="R9" s="31" t="s">
        <v>99</v>
      </c>
      <c r="S9" s="30" t="s">
        <v>100</v>
      </c>
    </row>
    <row r="10" spans="1:19" s="81" customFormat="1" x14ac:dyDescent="0.25">
      <c r="A10" s="79"/>
      <c r="B10" s="51">
        <f>ROW(B10) - ROW($B$9)</f>
        <v>1</v>
      </c>
      <c r="C10" s="73" t="s">
        <v>9</v>
      </c>
      <c r="D10" s="38" t="s">
        <v>16</v>
      </c>
      <c r="E10" s="38" t="s">
        <v>29</v>
      </c>
      <c r="F10" s="39" t="s">
        <v>42</v>
      </c>
      <c r="G10" s="38" t="s">
        <v>49</v>
      </c>
      <c r="H10" s="39" t="s">
        <v>61</v>
      </c>
      <c r="I10" s="38" t="s">
        <v>101</v>
      </c>
      <c r="J10" s="39" t="s">
        <v>70</v>
      </c>
      <c r="K10" s="38" t="s">
        <v>82</v>
      </c>
      <c r="L10" s="39">
        <v>8</v>
      </c>
      <c r="M10" s="38">
        <f>L10*1000</f>
        <v>8000</v>
      </c>
      <c r="N10" s="39"/>
      <c r="O10" s="77" t="s">
        <v>105</v>
      </c>
      <c r="P10" s="53"/>
      <c r="Q10" s="42">
        <f>P10*N10</f>
        <v>0</v>
      </c>
      <c r="R10" s="39"/>
      <c r="S10" s="80"/>
    </row>
    <row r="11" spans="1:19" s="90" customFormat="1" x14ac:dyDescent="0.25">
      <c r="A11" s="82"/>
      <c r="B11" s="83">
        <f t="shared" ref="B11:B21" si="0">ROW(B11) - ROW($B$9)</f>
        <v>2</v>
      </c>
      <c r="C11" s="91" t="s">
        <v>9</v>
      </c>
      <c r="D11" s="85" t="s">
        <v>17</v>
      </c>
      <c r="E11" s="85" t="s">
        <v>30</v>
      </c>
      <c r="F11" s="86" t="s">
        <v>42</v>
      </c>
      <c r="G11" s="85" t="s">
        <v>50</v>
      </c>
      <c r="H11" s="86" t="s">
        <v>61</v>
      </c>
      <c r="I11" s="85" t="s">
        <v>101</v>
      </c>
      <c r="J11" s="86" t="s">
        <v>71</v>
      </c>
      <c r="K11" s="85" t="s">
        <v>83</v>
      </c>
      <c r="L11" s="86">
        <v>1</v>
      </c>
      <c r="M11" s="85">
        <f t="shared" ref="M11:M21" si="1">L11*1000</f>
        <v>1000</v>
      </c>
      <c r="N11" s="86"/>
      <c r="O11" s="87" t="s">
        <v>105</v>
      </c>
      <c r="P11" s="88"/>
      <c r="Q11" s="89">
        <f t="shared" ref="Q11" si="2">P11*N11</f>
        <v>0</v>
      </c>
      <c r="R11" s="86"/>
      <c r="S11" s="85"/>
    </row>
    <row r="12" spans="1:19" s="81" customFormat="1" x14ac:dyDescent="0.25">
      <c r="A12" s="79"/>
      <c r="B12" s="51">
        <f>ROW(B12) - ROW($B$9)</f>
        <v>3</v>
      </c>
      <c r="C12" s="73" t="s">
        <v>9</v>
      </c>
      <c r="D12" s="38" t="s">
        <v>18</v>
      </c>
      <c r="E12" s="38" t="s">
        <v>31</v>
      </c>
      <c r="F12" s="39" t="s">
        <v>43</v>
      </c>
      <c r="G12" s="38" t="s">
        <v>51</v>
      </c>
      <c r="H12" s="39" t="s">
        <v>61</v>
      </c>
      <c r="I12" s="38" t="s">
        <v>101</v>
      </c>
      <c r="J12" s="39" t="s">
        <v>72</v>
      </c>
      <c r="K12" s="38" t="s">
        <v>84</v>
      </c>
      <c r="L12" s="39">
        <v>2</v>
      </c>
      <c r="M12" s="38">
        <f t="shared" si="1"/>
        <v>2000</v>
      </c>
      <c r="N12" s="39"/>
      <c r="O12" s="77" t="s">
        <v>105</v>
      </c>
      <c r="P12" s="53"/>
      <c r="Q12" s="42">
        <f>P12*N12</f>
        <v>0</v>
      </c>
      <c r="R12" s="39"/>
      <c r="S12" s="38"/>
    </row>
    <row r="13" spans="1:19" s="81" customFormat="1" x14ac:dyDescent="0.25">
      <c r="A13" s="79"/>
      <c r="B13" s="52">
        <f t="shared" si="0"/>
        <v>4</v>
      </c>
      <c r="C13" s="74" t="s">
        <v>9</v>
      </c>
      <c r="D13" s="40" t="s">
        <v>19</v>
      </c>
      <c r="E13" s="40" t="s">
        <v>32</v>
      </c>
      <c r="F13" s="41" t="s">
        <v>43</v>
      </c>
      <c r="G13" s="40" t="s">
        <v>52</v>
      </c>
      <c r="H13" s="41" t="s">
        <v>61</v>
      </c>
      <c r="I13" s="40" t="s">
        <v>101</v>
      </c>
      <c r="J13" s="41" t="s">
        <v>73</v>
      </c>
      <c r="K13" s="40" t="s">
        <v>85</v>
      </c>
      <c r="L13" s="41">
        <v>1</v>
      </c>
      <c r="M13" s="40">
        <f t="shared" si="1"/>
        <v>1000</v>
      </c>
      <c r="N13" s="41"/>
      <c r="O13" s="78" t="s">
        <v>105</v>
      </c>
      <c r="P13" s="54"/>
      <c r="Q13" s="43">
        <f t="shared" ref="Q13" si="3">P13*N13</f>
        <v>0</v>
      </c>
      <c r="R13" s="41"/>
      <c r="S13" s="40"/>
    </row>
    <row r="14" spans="1:19" s="81" customFormat="1" x14ac:dyDescent="0.25">
      <c r="A14" s="79"/>
      <c r="B14" s="51">
        <f>ROW(B14) - ROW($B$9)</f>
        <v>5</v>
      </c>
      <c r="C14" s="73" t="s">
        <v>9</v>
      </c>
      <c r="D14" s="38" t="s">
        <v>20</v>
      </c>
      <c r="E14" s="38" t="s">
        <v>33</v>
      </c>
      <c r="F14" s="39" t="s">
        <v>42</v>
      </c>
      <c r="G14" s="38" t="s">
        <v>53</v>
      </c>
      <c r="H14" s="39" t="s">
        <v>62</v>
      </c>
      <c r="I14" s="38" t="s">
        <v>101</v>
      </c>
      <c r="J14" s="39" t="s">
        <v>74</v>
      </c>
      <c r="K14" s="38" t="s">
        <v>85</v>
      </c>
      <c r="L14" s="39">
        <v>3</v>
      </c>
      <c r="M14" s="38">
        <f t="shared" si="1"/>
        <v>3000</v>
      </c>
      <c r="N14" s="39"/>
      <c r="O14" s="77" t="s">
        <v>105</v>
      </c>
      <c r="P14" s="53"/>
      <c r="Q14" s="42">
        <f>P14*N14</f>
        <v>0</v>
      </c>
      <c r="R14" s="39"/>
      <c r="S14" s="38"/>
    </row>
    <row r="15" spans="1:19" s="90" customFormat="1" x14ac:dyDescent="0.25">
      <c r="A15" s="82"/>
      <c r="B15" s="83">
        <f t="shared" si="0"/>
        <v>6</v>
      </c>
      <c r="C15" s="91" t="s">
        <v>9</v>
      </c>
      <c r="D15" s="85" t="s">
        <v>21</v>
      </c>
      <c r="E15" s="85" t="s">
        <v>34</v>
      </c>
      <c r="F15" s="86" t="s">
        <v>42</v>
      </c>
      <c r="G15" s="85" t="s">
        <v>54</v>
      </c>
      <c r="H15" s="86" t="s">
        <v>63</v>
      </c>
      <c r="I15" s="85" t="s">
        <v>101</v>
      </c>
      <c r="J15" s="86" t="s">
        <v>75</v>
      </c>
      <c r="K15" s="85" t="s">
        <v>86</v>
      </c>
      <c r="L15" s="86">
        <v>1</v>
      </c>
      <c r="M15" s="85">
        <f t="shared" si="1"/>
        <v>1000</v>
      </c>
      <c r="N15" s="86"/>
      <c r="O15" s="87" t="s">
        <v>105</v>
      </c>
      <c r="P15" s="88"/>
      <c r="Q15" s="89">
        <f t="shared" ref="Q15" si="4">P15*N15</f>
        <v>0</v>
      </c>
      <c r="R15" s="86"/>
      <c r="S15" s="85"/>
    </row>
    <row r="16" spans="1:19" s="81" customFormat="1" x14ac:dyDescent="0.25">
      <c r="A16" s="79"/>
      <c r="B16" s="51">
        <f>ROW(B16) - ROW($B$9)</f>
        <v>7</v>
      </c>
      <c r="C16" s="73" t="s">
        <v>9</v>
      </c>
      <c r="D16" s="38" t="s">
        <v>22</v>
      </c>
      <c r="E16" s="38" t="s">
        <v>35</v>
      </c>
      <c r="F16" s="39" t="s">
        <v>42</v>
      </c>
      <c r="G16" s="38" t="s">
        <v>55</v>
      </c>
      <c r="H16" s="39" t="s">
        <v>62</v>
      </c>
      <c r="I16" s="38" t="s">
        <v>101</v>
      </c>
      <c r="J16" s="39" t="s">
        <v>76</v>
      </c>
      <c r="K16" s="38" t="s">
        <v>87</v>
      </c>
      <c r="L16" s="39">
        <v>1</v>
      </c>
      <c r="M16" s="38">
        <f t="shared" si="1"/>
        <v>1000</v>
      </c>
      <c r="N16" s="39"/>
      <c r="O16" s="77" t="s">
        <v>105</v>
      </c>
      <c r="P16" s="53"/>
      <c r="Q16" s="42">
        <f>P16*N16</f>
        <v>0</v>
      </c>
      <c r="R16" s="39"/>
      <c r="S16" s="38"/>
    </row>
    <row r="17" spans="1:19" s="90" customFormat="1" x14ac:dyDescent="0.25">
      <c r="A17" s="82"/>
      <c r="B17" s="83">
        <f t="shared" si="0"/>
        <v>8</v>
      </c>
      <c r="C17" s="84" t="s">
        <v>10</v>
      </c>
      <c r="D17" s="85" t="s">
        <v>23</v>
      </c>
      <c r="E17" s="85" t="s">
        <v>36</v>
      </c>
      <c r="F17" s="86" t="s">
        <v>44</v>
      </c>
      <c r="G17" s="85" t="s">
        <v>56</v>
      </c>
      <c r="H17" s="86" t="s">
        <v>64</v>
      </c>
      <c r="I17" s="85" t="s">
        <v>101</v>
      </c>
      <c r="J17" s="86" t="s">
        <v>77</v>
      </c>
      <c r="K17" s="85" t="s">
        <v>88</v>
      </c>
      <c r="L17" s="86">
        <v>7</v>
      </c>
      <c r="M17" s="85">
        <f t="shared" si="1"/>
        <v>7000</v>
      </c>
      <c r="N17" s="86"/>
      <c r="O17" s="87" t="s">
        <v>105</v>
      </c>
      <c r="P17" s="88"/>
      <c r="Q17" s="89">
        <f t="shared" ref="Q17" si="5">P17*N17</f>
        <v>0</v>
      </c>
      <c r="R17" s="86"/>
      <c r="S17" s="85"/>
    </row>
    <row r="18" spans="1:19" s="81" customFormat="1" ht="48" x14ac:dyDescent="0.25">
      <c r="A18" s="79"/>
      <c r="B18" s="51">
        <f>ROW(B18) - ROW($B$9)</f>
        <v>9</v>
      </c>
      <c r="C18" s="76" t="s">
        <v>11</v>
      </c>
      <c r="D18" s="38" t="s">
        <v>24</v>
      </c>
      <c r="E18" s="38" t="s">
        <v>37</v>
      </c>
      <c r="F18" s="39" t="s">
        <v>104</v>
      </c>
      <c r="G18" s="38" t="s">
        <v>45</v>
      </c>
      <c r="H18" s="39" t="s">
        <v>65</v>
      </c>
      <c r="I18" s="38" t="s">
        <v>101</v>
      </c>
      <c r="J18" s="39" t="s">
        <v>78</v>
      </c>
      <c r="K18" s="38" t="s">
        <v>101</v>
      </c>
      <c r="L18" s="39">
        <v>1</v>
      </c>
      <c r="M18" s="38">
        <f t="shared" si="1"/>
        <v>1000</v>
      </c>
      <c r="N18" s="39"/>
      <c r="O18" s="77" t="s">
        <v>105</v>
      </c>
      <c r="P18" s="53"/>
      <c r="Q18" s="42">
        <f>P18*N18</f>
        <v>0</v>
      </c>
      <c r="R18" s="39"/>
      <c r="S18" s="38"/>
    </row>
    <row r="19" spans="1:19" s="90" customFormat="1" x14ac:dyDescent="0.25">
      <c r="A19" s="82"/>
      <c r="B19" s="83">
        <f t="shared" si="0"/>
        <v>10</v>
      </c>
      <c r="C19" s="84" t="s">
        <v>12</v>
      </c>
      <c r="D19" s="85" t="s">
        <v>25</v>
      </c>
      <c r="E19" s="85" t="s">
        <v>38</v>
      </c>
      <c r="F19" s="86" t="s">
        <v>46</v>
      </c>
      <c r="G19" s="85" t="s">
        <v>57</v>
      </c>
      <c r="H19" s="86" t="s">
        <v>66</v>
      </c>
      <c r="I19" s="85" t="s">
        <v>101</v>
      </c>
      <c r="J19" s="86" t="s">
        <v>79</v>
      </c>
      <c r="K19" s="85" t="s">
        <v>89</v>
      </c>
      <c r="L19" s="86">
        <v>1</v>
      </c>
      <c r="M19" s="85">
        <f t="shared" si="1"/>
        <v>1000</v>
      </c>
      <c r="N19" s="86"/>
      <c r="O19" s="87" t="s">
        <v>105</v>
      </c>
      <c r="P19" s="88"/>
      <c r="Q19" s="89">
        <f t="shared" ref="Q19" si="6">P19*N19</f>
        <v>0</v>
      </c>
      <c r="R19" s="86"/>
      <c r="S19" s="85"/>
    </row>
    <row r="20" spans="1:19" s="81" customFormat="1" x14ac:dyDescent="0.25">
      <c r="A20" s="79"/>
      <c r="B20" s="51">
        <f>ROW(B20) - ROW($B$9)</f>
        <v>11</v>
      </c>
      <c r="C20" s="76" t="s">
        <v>13</v>
      </c>
      <c r="D20" s="38" t="s">
        <v>26</v>
      </c>
      <c r="E20" s="38" t="s">
        <v>39</v>
      </c>
      <c r="F20" s="39" t="s">
        <v>47</v>
      </c>
      <c r="G20" s="38" t="s">
        <v>58</v>
      </c>
      <c r="H20" s="39" t="s">
        <v>67</v>
      </c>
      <c r="I20" s="38" t="s">
        <v>101</v>
      </c>
      <c r="J20" s="39" t="s">
        <v>80</v>
      </c>
      <c r="K20" s="38" t="s">
        <v>101</v>
      </c>
      <c r="L20" s="39">
        <v>1</v>
      </c>
      <c r="M20" s="38">
        <f t="shared" si="1"/>
        <v>1000</v>
      </c>
      <c r="N20" s="39"/>
      <c r="O20" s="38"/>
      <c r="P20" s="53"/>
      <c r="Q20" s="42">
        <f>P20*N20</f>
        <v>0</v>
      </c>
      <c r="R20" s="39"/>
      <c r="S20" s="38"/>
    </row>
    <row r="21" spans="1:19" s="90" customFormat="1" ht="15.75" thickBot="1" x14ac:dyDescent="0.3">
      <c r="A21" s="82"/>
      <c r="B21" s="96">
        <f t="shared" si="0"/>
        <v>12</v>
      </c>
      <c r="C21" s="97" t="s">
        <v>14</v>
      </c>
      <c r="D21" s="92" t="s">
        <v>27</v>
      </c>
      <c r="E21" s="92" t="s">
        <v>40</v>
      </c>
      <c r="F21" s="98" t="s">
        <v>104</v>
      </c>
      <c r="G21" s="92" t="s">
        <v>59</v>
      </c>
      <c r="H21" s="98" t="s">
        <v>68</v>
      </c>
      <c r="I21" s="92" t="s">
        <v>101</v>
      </c>
      <c r="J21" s="98" t="s">
        <v>81</v>
      </c>
      <c r="K21" s="92" t="s">
        <v>90</v>
      </c>
      <c r="L21" s="98">
        <v>1</v>
      </c>
      <c r="M21" s="92">
        <f t="shared" si="1"/>
        <v>1000</v>
      </c>
      <c r="N21" s="98"/>
      <c r="O21" s="92"/>
      <c r="P21" s="99"/>
      <c r="Q21" s="100">
        <f t="shared" ref="Q21" si="7">P21*N21</f>
        <v>0</v>
      </c>
      <c r="R21" s="98"/>
      <c r="S21" s="92"/>
    </row>
    <row r="22" spans="1:19" ht="19.5" thickBot="1" x14ac:dyDescent="0.3">
      <c r="A22" s="1"/>
      <c r="B22" s="45"/>
      <c r="C22" s="46"/>
      <c r="D22" s="47"/>
      <c r="E22" s="48"/>
      <c r="F22" s="49"/>
      <c r="G22" s="50"/>
      <c r="H22" s="49"/>
      <c r="I22" s="50"/>
      <c r="J22" s="49"/>
      <c r="K22" s="50"/>
      <c r="L22" s="50"/>
      <c r="M22" s="50"/>
      <c r="N22" s="93" t="s">
        <v>5</v>
      </c>
      <c r="O22" s="94"/>
      <c r="P22" s="94"/>
      <c r="Q22" s="95">
        <f>SUM(Q10:Q21)</f>
        <v>0</v>
      </c>
      <c r="R22" s="65"/>
      <c r="S22" s="66"/>
    </row>
    <row r="23" spans="1:19" ht="19.5" thickBot="1" x14ac:dyDescent="0.3">
      <c r="A23" s="1"/>
      <c r="B23" s="25"/>
      <c r="C23" s="37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69" t="s">
        <v>6</v>
      </c>
      <c r="O23" s="70"/>
      <c r="P23" s="70"/>
      <c r="Q23" s="56">
        <f>Q22/10</f>
        <v>0</v>
      </c>
      <c r="R23" s="67"/>
      <c r="S23" s="68"/>
    </row>
  </sheetData>
  <mergeCells count="5">
    <mergeCell ref="K1:S1"/>
    <mergeCell ref="S3:S8"/>
    <mergeCell ref="N22:P22"/>
    <mergeCell ref="R22:S23"/>
    <mergeCell ref="N23:P23"/>
  </mergeCells>
  <hyperlinks>
    <hyperlink ref="O10" r:id="rId1" xr:uid="{824749A7-A10A-499A-8CD0-DF156B8FA5FC}"/>
    <hyperlink ref="O11" r:id="rId2" xr:uid="{990546FC-1FDB-4492-B864-1BDF72FA22BE}"/>
    <hyperlink ref="O12" r:id="rId3" xr:uid="{3000D653-7CAB-462E-8C3E-745C63F83C29}"/>
    <hyperlink ref="O13" r:id="rId4" xr:uid="{B5E800E5-0082-4305-B79A-5444E5776F33}"/>
    <hyperlink ref="O14" r:id="rId5" xr:uid="{346FAD4E-9664-4F35-B95F-63182E8A9027}"/>
    <hyperlink ref="O15" r:id="rId6" xr:uid="{613783D1-65CD-4819-B8D8-C912FDC45FD2}"/>
    <hyperlink ref="O16" r:id="rId7" xr:uid="{E93EE780-47B1-46B9-AC98-284620CAA4F5}"/>
    <hyperlink ref="O17" r:id="rId8" xr:uid="{B03B7119-0357-469D-986A-CF49ADA570AD}"/>
    <hyperlink ref="O18" r:id="rId9" xr:uid="{6D800400-3AC9-4EBE-9D21-937BB2ED76F3}"/>
    <hyperlink ref="O19" r:id="rId10" xr:uid="{B44B5583-7655-4535-92B0-56130AAE3A53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2023-01-02T16:13:19Z</dcterms:modified>
</cp:coreProperties>
</file>