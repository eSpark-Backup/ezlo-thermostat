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zlo-thermostat\Design Files\Ezlo-Thermostat-v2.0-Advanc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8" i="1" l="1"/>
  <c r="B56" i="1"/>
  <c r="B57" i="1"/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<sst xmlns="http://schemas.openxmlformats.org/spreadsheetml/2006/main" count="391" uniqueCount="271">
  <si>
    <t>#</t>
  </si>
  <si>
    <t>Item Type</t>
  </si>
  <si>
    <t>Bridge Rectifier</t>
  </si>
  <si>
    <t>Capacitor</t>
  </si>
  <si>
    <t>Fuse</t>
  </si>
  <si>
    <t>Ferrite Bead</t>
  </si>
  <si>
    <t>FPC Connector</t>
  </si>
  <si>
    <t>Connector</t>
  </si>
  <si>
    <t>Jtag Header</t>
  </si>
  <si>
    <t>JST Connector</t>
  </si>
  <si>
    <t>Relay</t>
  </si>
  <si>
    <t>Inductor</t>
  </si>
  <si>
    <t>LED</t>
  </si>
  <si>
    <t>RGB LED</t>
  </si>
  <si>
    <t>Mosfet</t>
  </si>
  <si>
    <t>Resistor</t>
  </si>
  <si>
    <t>Varistor</t>
  </si>
  <si>
    <t>Tactile Switch</t>
  </si>
  <si>
    <t>IC</t>
  </si>
  <si>
    <t>Temperature Sensor</t>
  </si>
  <si>
    <t>Optocoupler</t>
  </si>
  <si>
    <t>Module</t>
  </si>
  <si>
    <t>Designator</t>
  </si>
  <si>
    <t>BR1_Relay0, BR1_Relay1, BR1_Relay2, BR1_Relay3, BR1_Relay4, BR1_Relay5, BR1_Relay6</t>
  </si>
  <si>
    <t>C1, C3, C6, C16, C20</t>
  </si>
  <si>
    <t>C2, C5, C7, C8, C10, C12, C14, C15, C19, C21, C22, C23, C24, C25, C26, C27, C28, C29, C30, C32, C33, C35, C37, C38, C39, C40, C41</t>
  </si>
  <si>
    <t>C4</t>
  </si>
  <si>
    <t>C9, C11</t>
  </si>
  <si>
    <t>C13</t>
  </si>
  <si>
    <t>C17, C18</t>
  </si>
  <si>
    <t>C31_Relay0, C31_Relay1, C31_Relay2, C31_Relay3, C31_Relay4, C31_Relay5, C31_Relay6</t>
  </si>
  <si>
    <t>C34</t>
  </si>
  <si>
    <t>C36</t>
  </si>
  <si>
    <t>D1</t>
  </si>
  <si>
    <t>F1</t>
  </si>
  <si>
    <t>F2</t>
  </si>
  <si>
    <t>FB1</t>
  </si>
  <si>
    <t>FB2</t>
  </si>
  <si>
    <t>FB3, FB4, FB5, FB6</t>
  </si>
  <si>
    <t>J1</t>
  </si>
  <si>
    <t>J2</t>
  </si>
  <si>
    <t>J3</t>
  </si>
  <si>
    <t>J4</t>
  </si>
  <si>
    <t>J5</t>
  </si>
  <si>
    <t>J6</t>
  </si>
  <si>
    <t>J7</t>
  </si>
  <si>
    <t>K1_Relay0, K1_Relay1, K1_Relay2, K1_Relay3, K1_Relay4, K1_Relay5, K1_Relay6</t>
  </si>
  <si>
    <t>L1</t>
  </si>
  <si>
    <t>LED1</t>
  </si>
  <si>
    <t>LED2</t>
  </si>
  <si>
    <t>LED3, LED4, LED5, LED6</t>
  </si>
  <si>
    <t>P1, P2, P3, P4, P5, P6, P7, P8, P9, P10, P11, P12, P13, P14, P15, P16, P17, P18, P19, P20, P21, P22, P23, P24, P25</t>
  </si>
  <si>
    <t>Q1, Q2, Q3, Q4, Q5</t>
  </si>
  <si>
    <t>R1</t>
  </si>
  <si>
    <t>R2, R3</t>
  </si>
  <si>
    <t>R4, R5, R6, R7, R8, R9, R10, R15, R20, R23, R27, R32</t>
  </si>
  <si>
    <t>R11</t>
  </si>
  <si>
    <t>R12_Relay0, R12_Relay1, R12_Relay2, R12_Relay3, R12_Relay4, R12_Relay5, R12_Relay6</t>
  </si>
  <si>
    <t>R13_Relay0, R13_Relay1, R13_Relay2, R13_Relay3, R13_Relay4, R13_Relay5, R13_Relay6</t>
  </si>
  <si>
    <t>R14</t>
  </si>
  <si>
    <t>R16, R17</t>
  </si>
  <si>
    <t>R18, R19</t>
  </si>
  <si>
    <t>R21, R22, R26</t>
  </si>
  <si>
    <t>R24, R25, R28, R29, R30, R31</t>
  </si>
  <si>
    <t>RV1_Relay0, RV1_Relay1, RV1_Relay2, RV1_Relay3, RV1_Relay4, RV1_Relay5, RV1_Relay6</t>
  </si>
  <si>
    <t>SW1</t>
  </si>
  <si>
    <t>U1</t>
  </si>
  <si>
    <t>U2</t>
  </si>
  <si>
    <t>U3</t>
  </si>
  <si>
    <t>U4</t>
  </si>
  <si>
    <t>U5, U6, U7</t>
  </si>
  <si>
    <t>U8, U9, U10</t>
  </si>
  <si>
    <t>U11, U12</t>
  </si>
  <si>
    <t>U13_Relay0, U13_Relay1, U13_Relay2, U13_Relay3, U13_Relay4, U13_Relay5, U13_Relay6</t>
  </si>
  <si>
    <t>U14</t>
  </si>
  <si>
    <t>U15</t>
  </si>
  <si>
    <t>Description</t>
  </si>
  <si>
    <t>5uA@1kV 1V@0.4A 1A 1kV -55℃~+150℃@(Tj) ABS Bridge Rectifiers ROHS</t>
  </si>
  <si>
    <t>CAP CER 10UF 10V X5R 0402</t>
  </si>
  <si>
    <t>CAP CER 0.1UF 25V X5R 0402</t>
  </si>
  <si>
    <t>CAP CER 4700PF 50V C0G/NPO 1206</t>
  </si>
  <si>
    <t>CAP CER 10000PF 25V X5R 0402</t>
  </si>
  <si>
    <t>CAP CER 10UF 16V X5R 0603</t>
  </si>
  <si>
    <t>CAP ALUM 100UF 20% 10V SMD</t>
  </si>
  <si>
    <t>50V 220nF X7R ±10% 1206 Multilayer Ceramic Capacitors MLCC - SMD/SMT ROHS</t>
  </si>
  <si>
    <t>CAP CER 22UF 6.3V X5R 0603</t>
  </si>
  <si>
    <t>CAP CER 1UF 25V X5R 0402</t>
  </si>
  <si>
    <t>ESD Suppressor TVS 5.5V 4-Pin(3+Tab) SOT-143 T/R</t>
  </si>
  <si>
    <t>6V 1A 100A 1.95A 300ms 0805 Resettable Fuses ROHS</t>
  </si>
  <si>
    <t>6V 2A 100A 0.8W 3.5A -40℃~+85℃ 0.018Ω 1.5s 0.08Ω 1206 Resettable Fuses ROHS</t>
  </si>
  <si>
    <t>FERRITE BEAD 120 OHM 0603 1LN</t>
  </si>
  <si>
    <t>FERRITE BEAD 120 OHM 1206 1LN</t>
  </si>
  <si>
    <t>FERRITE BEAD 120 OHM 0402 1LN</t>
  </si>
  <si>
    <t>250mA 1 16 Female Type-C SMD USB Connectors ROHS</t>
  </si>
  <si>
    <t>Clamshell 15 Bottom Contact Surface Mount 0.5mm SMD,P=0.5mm FFC/FPC Connectors ROHS</t>
  </si>
  <si>
    <t>1x6P SH 1 1mm 6 SMD,P=1mm Wire To Board / Wire To Wire Connector ROHS</t>
  </si>
  <si>
    <t>CONN HEADER SMD 10POS 1.27MM</t>
  </si>
  <si>
    <t>CONN HEADER SMD R/A 10POS 1MM</t>
  </si>
  <si>
    <t>PinHeader_1x05_P5.00mm_Vertical</t>
  </si>
  <si>
    <t>Relay Gen Purpose DPDT 1A 3VDC</t>
  </si>
  <si>
    <t>FIXED IND 10UH 1A 540 MOHM SMD</t>
  </si>
  <si>
    <t>Red 632nm LED Indication - Discrete 2.05V 0603 (1608 Metric)</t>
  </si>
  <si>
    <t>Yellow-Green 572nm LED Indication - Discrete 2.05V 0603 (1608 Metric)</t>
  </si>
  <si>
    <t>5mA -40℃~+80℃ RGB SMD,2x2mm Light Emitting Diodes (LED) ROHS</t>
  </si>
  <si>
    <t>Test Point ON</t>
  </si>
  <si>
    <t>N-CHANNEL 20-V (D-S) MOSFET</t>
  </si>
  <si>
    <t>RES 1M OHM 1% 1/4W 1206</t>
  </si>
  <si>
    <t>RES 5.1K OHM 1% 1/16W 0402</t>
  </si>
  <si>
    <t>RES 220K OHM 1% 1/16W 0402</t>
  </si>
  <si>
    <t>RES 47K OHM 1% 1/16W 0402</t>
  </si>
  <si>
    <t>RES 47 OHM 1% 1/16W 0402</t>
  </si>
  <si>
    <t>RES 100K OHM 1% 1/16W 0402</t>
  </si>
  <si>
    <t>RES 0 OHM JUMPER 1/16W 0402</t>
  </si>
  <si>
    <t>RES 4.7K OHM 1% 1/16W 0402</t>
  </si>
  <si>
    <t>RES 22 OHM 1% 1/16W 0402</t>
  </si>
  <si>
    <t>RES 1K OHM 1% 1/16W 0402</t>
  </si>
  <si>
    <t>RES 10K OHM 1% 1/16W 0402</t>
  </si>
  <si>
    <t>VARISTOR 68V 500A DISC 7MM</t>
  </si>
  <si>
    <t>3.5mm 3.5mm SMDSplicing Black Rectangle button 50mA Surface Mount 7mm SPST 100MΩ 20000 12V 250gf@±50gf SMD Tactile Switches ROHS</t>
  </si>
  <si>
    <t>Linear Voltage Regulator IC Positive Fixed 1 Output 3.3V 1A SOT-25</t>
  </si>
  <si>
    <t>600mA 60dB 500mV@(600mA) Fixed 3.3V~3.3V Positive 1 7V SOT-89(SOT-89-3) Linear Voltage Regulators (LDO) ROHS</t>
  </si>
  <si>
    <t>300mA 80dB@(1kHz) 410mV@(300mA) Fixed 1.8V~1.8V Positive 1 5.5V SOT-25-5 Linear Voltage Regulators (LDO) ROHS</t>
  </si>
  <si>
    <t>SENSOR RH PRESSURE TEMP VOC</t>
  </si>
  <si>
    <t>IC DECODER/DEMUX 3-8 INV 16SOIC</t>
  </si>
  <si>
    <t>SOIC-14 Inverters ROHS</t>
  </si>
  <si>
    <t>100uA@50V 3V@2V,300mA 1.6V@350mA 4mA@12V 100uA@50V 1.25V@350mA 500mA 25pF SOP-16_150mil Darlington Transistor Arrays ROHS</t>
  </si>
  <si>
    <t>80V 3750V 2us@2mA,100Ω -55℃~+125℃ 50mA 3us@2mA,100Ω 0.4V@2.4mA,8mA 1 6V 1.2V Phototransistor DC SOP-4-2.6mm Optocouplers - Phototransistor Output ROHS</t>
  </si>
  <si>
    <t>IC TRANSLATOR BIDIR 20TSSOP</t>
  </si>
  <si>
    <t>SMD MODULE, ESP32-S3R8 WITH 3.3V</t>
  </si>
  <si>
    <t>Footprint</t>
  </si>
  <si>
    <t>ABS</t>
  </si>
  <si>
    <t>Cap-0402</t>
  </si>
  <si>
    <t>Cap-1206</t>
  </si>
  <si>
    <t>Cap-0603</t>
  </si>
  <si>
    <t>UCD1A101MCL1GS</t>
  </si>
  <si>
    <t>SOT-143-4_</t>
  </si>
  <si>
    <t>Fuse-0805</t>
  </si>
  <si>
    <t>Fuse 1206 (3216 Metric)</t>
  </si>
  <si>
    <t>IND-0603 (1608 Metric)</t>
  </si>
  <si>
    <t>IND-1206</t>
  </si>
  <si>
    <t>IND-0402</t>
  </si>
  <si>
    <t>AFC01-S15FCC-00</t>
  </si>
  <si>
    <t>SM10B-SRSS-TB(LF)(SN)</t>
  </si>
  <si>
    <t>EA2-3TNU</t>
  </si>
  <si>
    <t>IND-1008 (2520 Metric)</t>
  </si>
  <si>
    <t>LED-0603</t>
  </si>
  <si>
    <t>SK6812-EC20</t>
  </si>
  <si>
    <t>Test-point</t>
  </si>
  <si>
    <t>Sot-23</t>
  </si>
  <si>
    <t>Res-1206</t>
  </si>
  <si>
    <t>Res-0402</t>
  </si>
  <si>
    <t>ERZ-V07D680</t>
  </si>
  <si>
    <t>YTS-B003-2A</t>
  </si>
  <si>
    <t>SOT-25-5</t>
  </si>
  <si>
    <t>SOT-89-3</t>
  </si>
  <si>
    <t>BME680</t>
  </si>
  <si>
    <t>16-SOIC</t>
  </si>
  <si>
    <t>14-SOIC</t>
  </si>
  <si>
    <t>SOP-16_150mil</t>
  </si>
  <si>
    <t>SOP-4-1.27mm pitch Body 2.6mm</t>
  </si>
  <si>
    <t>TSSOP-20</t>
  </si>
  <si>
    <t>41-SMD Module</t>
  </si>
  <si>
    <t>Manufacturer Part Number</t>
  </si>
  <si>
    <t>ABS10</t>
  </si>
  <si>
    <t>CC0402MRX5R6BB106</t>
  </si>
  <si>
    <t>CC0402KRX5R8BB104</t>
  </si>
  <si>
    <t>CC1206GRNPO9BN472</t>
  </si>
  <si>
    <t>CC0402KRX5R8BB103</t>
  </si>
  <si>
    <t>CC0603KRX5R7BB106</t>
  </si>
  <si>
    <t>1206B224K500NT</t>
  </si>
  <si>
    <t>CC0603MRX5R5BB226</t>
  </si>
  <si>
    <t>CC0402KRX5R8BB105</t>
  </si>
  <si>
    <t>SP0503BAHTG</t>
  </si>
  <si>
    <t>JK-SMD0805-100</t>
  </si>
  <si>
    <t>SMD1206K200SF6V</t>
  </si>
  <si>
    <t>BLM18SG121TN1D</t>
  </si>
  <si>
    <t>BLM31PG121SN1L</t>
  </si>
  <si>
    <t>BLM15PD121SN1D</t>
  </si>
  <si>
    <t>TYPE-C-31-M-12</t>
  </si>
  <si>
    <t>C145963</t>
  </si>
  <si>
    <t>20021121-00010C4LF</t>
  </si>
  <si>
    <t>VLS252012HBX-100M-1</t>
  </si>
  <si>
    <t>19-21/R7C-AK1L2BY/3T</t>
  </si>
  <si>
    <t>19-21/G6C-FM1N2B/3T</t>
  </si>
  <si>
    <t>SI2302CDS</t>
  </si>
  <si>
    <t>RC1206FR-071ML</t>
  </si>
  <si>
    <t>RC0402FR-075K1L</t>
  </si>
  <si>
    <t>RC0402FR-07220KL</t>
  </si>
  <si>
    <t>RC0402FR-0747KL</t>
  </si>
  <si>
    <t>RC0402FR-0747RL</t>
  </si>
  <si>
    <t>RC0402FR-07100KL</t>
  </si>
  <si>
    <t>RC0402FR-070RL</t>
  </si>
  <si>
    <t>RC0402FR-074K7L</t>
  </si>
  <si>
    <t>RC0402FR-0722RL</t>
  </si>
  <si>
    <t>RC0402FR-071KL</t>
  </si>
  <si>
    <t>RC0402FR-0710KL</t>
  </si>
  <si>
    <t>XC6220B331MR-G</t>
  </si>
  <si>
    <t>LR1107G-33-AB3-C-R</t>
  </si>
  <si>
    <t>XC6228D182VR-G</t>
  </si>
  <si>
    <t>74LVC138AD,118</t>
  </si>
  <si>
    <t>SN74LV14AD</t>
  </si>
  <si>
    <t>ULN2003A</t>
  </si>
  <si>
    <t>OR-3H7B-TP-G</t>
  </si>
  <si>
    <t>TXS0108EPWR</t>
  </si>
  <si>
    <t>ESP32-S3-WROOM-1-N16R8</t>
  </si>
  <si>
    <t>Manufacturer</t>
  </si>
  <si>
    <t>FOSAN</t>
  </si>
  <si>
    <t>Yageo</t>
  </si>
  <si>
    <t>Nichicon</t>
  </si>
  <si>
    <t>FH</t>
  </si>
  <si>
    <t>Littelfuse</t>
  </si>
  <si>
    <t>Jinrui Electronic Materials Co.</t>
  </si>
  <si>
    <t>KAILONG</t>
  </si>
  <si>
    <t>Murata</t>
  </si>
  <si>
    <t>Korean Hroparts Elec</t>
  </si>
  <si>
    <t>JUSHUO</t>
  </si>
  <si>
    <t>BOOMELE</t>
  </si>
  <si>
    <t>Amphenol FCI</t>
  </si>
  <si>
    <t>JST</t>
  </si>
  <si>
    <t>KEMET</t>
  </si>
  <si>
    <t>TDK</t>
  </si>
  <si>
    <t>Everlight Elec</t>
  </si>
  <si>
    <t>OPSCO Optoelectronics</t>
  </si>
  <si>
    <t>TECH PUBLIC</t>
  </si>
  <si>
    <t>Panasonic</t>
  </si>
  <si>
    <t>YIYUAN</t>
  </si>
  <si>
    <t>Torex</t>
  </si>
  <si>
    <t>UTC(Unisonic Tech)</t>
  </si>
  <si>
    <t>Torex Semicon</t>
  </si>
  <si>
    <t>Bosch Sensortec</t>
  </si>
  <si>
    <t>Nexperia</t>
  </si>
  <si>
    <t>Texas Instruments</t>
  </si>
  <si>
    <t>Mixic</t>
  </si>
  <si>
    <t>Orient</t>
  </si>
  <si>
    <t>Espressif Systems</t>
  </si>
  <si>
    <t>10uF</t>
  </si>
  <si>
    <t>100nF</t>
  </si>
  <si>
    <t>4.7nF</t>
  </si>
  <si>
    <t>0.01uF</t>
  </si>
  <si>
    <t>100uF</t>
  </si>
  <si>
    <t>220nF</t>
  </si>
  <si>
    <t>22uF</t>
  </si>
  <si>
    <t>1uF</t>
  </si>
  <si>
    <t>100MHz</t>
  </si>
  <si>
    <t>10uH</t>
  </si>
  <si>
    <t>1M</t>
  </si>
  <si>
    <t>5.1K</t>
  </si>
  <si>
    <t>220K</t>
  </si>
  <si>
    <t>47K</t>
  </si>
  <si>
    <t>47R</t>
  </si>
  <si>
    <t>100K</t>
  </si>
  <si>
    <t>0R</t>
  </si>
  <si>
    <t>4.7K</t>
  </si>
  <si>
    <t>22R</t>
  </si>
  <si>
    <t>1K</t>
  </si>
  <si>
    <t>10K</t>
  </si>
  <si>
    <t>Quantity</t>
  </si>
  <si>
    <t>Remarks</t>
  </si>
  <si>
    <t>Value</t>
  </si>
  <si>
    <t>-</t>
  </si>
  <si>
    <t>Diode</t>
  </si>
  <si>
    <t>USB Connector</t>
  </si>
  <si>
    <t>Header</t>
  </si>
  <si>
    <t>Test Point</t>
  </si>
  <si>
    <t>Custom</t>
  </si>
  <si>
    <t>Peripheral</t>
  </si>
  <si>
    <t>Tablet</t>
  </si>
  <si>
    <t>Camera</t>
  </si>
  <si>
    <t xml:space="preserve">A10SR10SR30K102A </t>
  </si>
  <si>
    <t>JUMPER 10SR-3S - 10SR-3S 4"</t>
  </si>
  <si>
    <t>JST Sales America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</si>
</sst>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0"/>
  <sheetViews>
    <sheetView tabSelected="1" workbookViewId="0">
      <selection activeCell="D34" sqref="D34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5"/>
      <c r="C1" s="5"/>
      <c r="D1" s="2"/>
      <c r="E1" s="2"/>
      <c r="F1" s="2"/>
      <c r="G1" s="2"/>
      <c r="H1" s="2"/>
      <c r="I1" s="31"/>
      <c r="J1" s="31"/>
      <c r="K1" s="31"/>
    </row>
    <row r="2" spans="1:11" ht="15.75" thickBot="1" x14ac:dyDescent="0.3">
      <c r="A2" s="1"/>
      <c r="B2" s="8" t="s">
        <v>0</v>
      </c>
      <c r="C2" s="8" t="s">
        <v>1</v>
      </c>
      <c r="D2" s="8" t="s">
        <v>22</v>
      </c>
      <c r="E2" s="9" t="s">
        <v>76</v>
      </c>
      <c r="F2" s="8" t="s">
        <v>129</v>
      </c>
      <c r="G2" s="9" t="s">
        <v>162</v>
      </c>
      <c r="H2" s="8" t="s">
        <v>205</v>
      </c>
      <c r="I2" s="9" t="s">
        <v>258</v>
      </c>
      <c r="J2" s="8" t="s">
        <v>256</v>
      </c>
      <c r="K2" s="8" t="s">
        <v>257</v>
      </c>
    </row>
    <row r="3" spans="1:11" ht="36.75" thickBot="1" x14ac:dyDescent="0.3">
      <c r="A3" s="1"/>
      <c r="B3" s="23">
        <f>ROW(B3) - ROW($B$2)</f>
        <v>1</v>
      </c>
      <c r="C3" s="24" t="s">
        <v>2</v>
      </c>
      <c r="D3" s="15" t="s">
        <v>23</v>
      </c>
      <c r="E3" s="16" t="s">
        <v>77</v>
      </c>
      <c r="F3" s="15" t="s">
        <v>130</v>
      </c>
      <c r="G3" s="16" t="s">
        <v>163</v>
      </c>
      <c r="H3" s="15" t="s">
        <v>206</v>
      </c>
      <c r="I3" s="16" t="s">
        <v>259</v>
      </c>
      <c r="J3" s="15">
        <v>7</v>
      </c>
      <c r="K3" s="15"/>
    </row>
    <row r="4" spans="1:11" ht="15.75" thickBot="1" x14ac:dyDescent="0.3">
      <c r="A4" s="1"/>
      <c r="B4" s="23">
        <f t="shared" ref="B4:B54" si="0">ROW(B4) - ROW($B$2)</f>
        <v>2</v>
      </c>
      <c r="C4" s="25" t="s">
        <v>3</v>
      </c>
      <c r="D4" s="17" t="s">
        <v>24</v>
      </c>
      <c r="E4" s="18" t="s">
        <v>78</v>
      </c>
      <c r="F4" s="17" t="s">
        <v>131</v>
      </c>
      <c r="G4" s="18" t="s">
        <v>164</v>
      </c>
      <c r="H4" s="17" t="s">
        <v>207</v>
      </c>
      <c r="I4" s="18" t="s">
        <v>235</v>
      </c>
      <c r="J4" s="17">
        <v>5</v>
      </c>
      <c r="K4" s="17"/>
    </row>
    <row r="5" spans="1:11" ht="36.75" thickBot="1" x14ac:dyDescent="0.3">
      <c r="A5" s="1"/>
      <c r="B5" s="23">
        <f>ROW(B5) - ROW($B$2)</f>
        <v>3</v>
      </c>
      <c r="C5" s="24" t="s">
        <v>3</v>
      </c>
      <c r="D5" s="15" t="s">
        <v>25</v>
      </c>
      <c r="E5" s="16" t="s">
        <v>79</v>
      </c>
      <c r="F5" s="15" t="s">
        <v>131</v>
      </c>
      <c r="G5" s="16" t="s">
        <v>165</v>
      </c>
      <c r="H5" s="15" t="s">
        <v>207</v>
      </c>
      <c r="I5" s="16" t="s">
        <v>236</v>
      </c>
      <c r="J5" s="15">
        <v>27</v>
      </c>
      <c r="K5" s="15"/>
    </row>
    <row r="6" spans="1:11" ht="15.75" thickBot="1" x14ac:dyDescent="0.3">
      <c r="A6" s="1"/>
      <c r="B6" s="23">
        <f t="shared" si="0"/>
        <v>4</v>
      </c>
      <c r="C6" s="24" t="s">
        <v>3</v>
      </c>
      <c r="D6" s="17" t="s">
        <v>26</v>
      </c>
      <c r="E6" s="18" t="s">
        <v>80</v>
      </c>
      <c r="F6" s="17" t="s">
        <v>132</v>
      </c>
      <c r="G6" s="18" t="s">
        <v>166</v>
      </c>
      <c r="H6" s="17" t="s">
        <v>207</v>
      </c>
      <c r="I6" s="18" t="s">
        <v>237</v>
      </c>
      <c r="J6" s="17">
        <v>1</v>
      </c>
      <c r="K6" s="17"/>
    </row>
    <row r="7" spans="1:11" ht="15.75" thickBot="1" x14ac:dyDescent="0.3">
      <c r="A7" s="1"/>
      <c r="B7" s="23">
        <f>ROW(B7) - ROW($B$2)</f>
        <v>5</v>
      </c>
      <c r="C7" s="24" t="s">
        <v>3</v>
      </c>
      <c r="D7" s="15" t="s">
        <v>27</v>
      </c>
      <c r="E7" s="16" t="s">
        <v>81</v>
      </c>
      <c r="F7" s="15" t="s">
        <v>131</v>
      </c>
      <c r="G7" s="16" t="s">
        <v>167</v>
      </c>
      <c r="H7" s="15" t="s">
        <v>207</v>
      </c>
      <c r="I7" s="16" t="s">
        <v>238</v>
      </c>
      <c r="J7" s="15">
        <v>2</v>
      </c>
      <c r="K7" s="15"/>
    </row>
    <row r="8" spans="1:11" ht="15.75" thickBot="1" x14ac:dyDescent="0.3">
      <c r="A8" s="1"/>
      <c r="B8" s="23">
        <f t="shared" si="0"/>
        <v>6</v>
      </c>
      <c r="C8" s="24" t="s">
        <v>3</v>
      </c>
      <c r="D8" s="17" t="s">
        <v>28</v>
      </c>
      <c r="E8" s="18" t="s">
        <v>82</v>
      </c>
      <c r="F8" s="17" t="s">
        <v>133</v>
      </c>
      <c r="G8" s="18" t="s">
        <v>168</v>
      </c>
      <c r="H8" s="17" t="s">
        <v>207</v>
      </c>
      <c r="I8" s="18" t="s">
        <v>235</v>
      </c>
      <c r="J8" s="17">
        <v>1</v>
      </c>
      <c r="K8" s="17"/>
    </row>
    <row r="9" spans="1:11" ht="15.75" thickBot="1" x14ac:dyDescent="0.3">
      <c r="A9" s="1"/>
      <c r="B9" s="23">
        <f>ROW(B9) - ROW($B$2)</f>
        <v>7</v>
      </c>
      <c r="C9" s="24" t="s">
        <v>3</v>
      </c>
      <c r="D9" s="15" t="s">
        <v>29</v>
      </c>
      <c r="E9" s="16" t="s">
        <v>83</v>
      </c>
      <c r="F9" s="15" t="s">
        <v>264</v>
      </c>
      <c r="G9" s="16" t="s">
        <v>134</v>
      </c>
      <c r="H9" s="15" t="s">
        <v>208</v>
      </c>
      <c r="I9" s="16" t="s">
        <v>239</v>
      </c>
      <c r="J9" s="15">
        <v>2</v>
      </c>
      <c r="K9" s="15"/>
    </row>
    <row r="10" spans="1:11" ht="36.75" thickBot="1" x14ac:dyDescent="0.3">
      <c r="A10" s="1"/>
      <c r="B10" s="23">
        <f t="shared" si="0"/>
        <v>8</v>
      </c>
      <c r="C10" s="24" t="s">
        <v>3</v>
      </c>
      <c r="D10" s="17" t="s">
        <v>30</v>
      </c>
      <c r="E10" s="18" t="s">
        <v>84</v>
      </c>
      <c r="F10" s="17" t="s">
        <v>132</v>
      </c>
      <c r="G10" s="18" t="s">
        <v>169</v>
      </c>
      <c r="H10" s="17" t="s">
        <v>209</v>
      </c>
      <c r="I10" s="18" t="s">
        <v>240</v>
      </c>
      <c r="J10" s="17">
        <v>7</v>
      </c>
      <c r="K10" s="17"/>
    </row>
    <row r="11" spans="1:11" ht="15.75" thickBot="1" x14ac:dyDescent="0.3">
      <c r="A11" s="1"/>
      <c r="B11" s="23">
        <f>ROW(B11) - ROW($B$2)</f>
        <v>9</v>
      </c>
      <c r="C11" s="24" t="s">
        <v>3</v>
      </c>
      <c r="D11" s="15" t="s">
        <v>31</v>
      </c>
      <c r="E11" s="16" t="s">
        <v>85</v>
      </c>
      <c r="F11" s="15" t="s">
        <v>133</v>
      </c>
      <c r="G11" s="16" t="s">
        <v>170</v>
      </c>
      <c r="H11" s="15" t="s">
        <v>207</v>
      </c>
      <c r="I11" s="16" t="s">
        <v>241</v>
      </c>
      <c r="J11" s="15">
        <v>1</v>
      </c>
      <c r="K11" s="15"/>
    </row>
    <row r="12" spans="1:11" ht="15.75" thickBot="1" x14ac:dyDescent="0.3">
      <c r="A12" s="1"/>
      <c r="B12" s="23">
        <f t="shared" si="0"/>
        <v>10</v>
      </c>
      <c r="C12" s="24" t="s">
        <v>3</v>
      </c>
      <c r="D12" s="17" t="s">
        <v>32</v>
      </c>
      <c r="E12" s="18" t="s">
        <v>86</v>
      </c>
      <c r="F12" s="17" t="s">
        <v>131</v>
      </c>
      <c r="G12" s="18" t="s">
        <v>171</v>
      </c>
      <c r="H12" s="17" t="s">
        <v>207</v>
      </c>
      <c r="I12" s="18" t="s">
        <v>242</v>
      </c>
      <c r="J12" s="17">
        <v>1</v>
      </c>
      <c r="K12" s="17"/>
    </row>
    <row r="13" spans="1:11" ht="24.75" thickBot="1" x14ac:dyDescent="0.3">
      <c r="A13" s="1"/>
      <c r="B13" s="23">
        <f>ROW(B13) - ROW($B$2)</f>
        <v>11</v>
      </c>
      <c r="C13" s="24" t="s">
        <v>260</v>
      </c>
      <c r="D13" s="15" t="s">
        <v>33</v>
      </c>
      <c r="E13" s="16" t="s">
        <v>87</v>
      </c>
      <c r="F13" s="15" t="s">
        <v>135</v>
      </c>
      <c r="G13" s="16" t="s">
        <v>172</v>
      </c>
      <c r="H13" s="15" t="s">
        <v>210</v>
      </c>
      <c r="I13" s="16" t="s">
        <v>259</v>
      </c>
      <c r="J13" s="15">
        <v>1</v>
      </c>
      <c r="K13" s="15"/>
    </row>
    <row r="14" spans="1:11" ht="24.75" thickBot="1" x14ac:dyDescent="0.3">
      <c r="A14" s="1"/>
      <c r="B14" s="23">
        <f t="shared" si="0"/>
        <v>12</v>
      </c>
      <c r="C14" s="25" t="s">
        <v>4</v>
      </c>
      <c r="D14" s="17" t="s">
        <v>34</v>
      </c>
      <c r="E14" s="18" t="s">
        <v>88</v>
      </c>
      <c r="F14" s="17" t="s">
        <v>136</v>
      </c>
      <c r="G14" s="18" t="s">
        <v>173</v>
      </c>
      <c r="H14" s="17" t="s">
        <v>211</v>
      </c>
      <c r="I14" s="18" t="s">
        <v>259</v>
      </c>
      <c r="J14" s="17">
        <v>1</v>
      </c>
      <c r="K14" s="17"/>
    </row>
    <row r="15" spans="1:11" ht="36.75" thickBot="1" x14ac:dyDescent="0.3">
      <c r="A15" s="1"/>
      <c r="B15" s="23">
        <f>ROW(B15) - ROW($B$2)</f>
        <v>13</v>
      </c>
      <c r="C15" s="24" t="s">
        <v>4</v>
      </c>
      <c r="D15" s="15" t="s">
        <v>35</v>
      </c>
      <c r="E15" s="16" t="s">
        <v>89</v>
      </c>
      <c r="F15" s="15" t="s">
        <v>137</v>
      </c>
      <c r="G15" s="16" t="s">
        <v>174</v>
      </c>
      <c r="H15" s="15" t="s">
        <v>212</v>
      </c>
      <c r="I15" s="16" t="s">
        <v>259</v>
      </c>
      <c r="J15" s="15">
        <v>1</v>
      </c>
      <c r="K15" s="15"/>
    </row>
    <row r="16" spans="1:11" ht="15.75" thickBot="1" x14ac:dyDescent="0.3">
      <c r="A16" s="1"/>
      <c r="B16" s="23">
        <f t="shared" si="0"/>
        <v>14</v>
      </c>
      <c r="C16" s="25" t="s">
        <v>5</v>
      </c>
      <c r="D16" s="17" t="s">
        <v>36</v>
      </c>
      <c r="E16" s="18" t="s">
        <v>90</v>
      </c>
      <c r="F16" s="17" t="s">
        <v>138</v>
      </c>
      <c r="G16" s="18" t="s">
        <v>175</v>
      </c>
      <c r="H16" s="17" t="s">
        <v>213</v>
      </c>
      <c r="I16" s="18" t="s">
        <v>259</v>
      </c>
      <c r="J16" s="17">
        <v>1</v>
      </c>
      <c r="K16" s="17"/>
    </row>
    <row r="17" spans="1:11" ht="15.75" thickBot="1" x14ac:dyDescent="0.3">
      <c r="A17" s="1"/>
      <c r="B17" s="23">
        <f>ROW(B17) - ROW($B$2)</f>
        <v>15</v>
      </c>
      <c r="C17" s="24" t="s">
        <v>5</v>
      </c>
      <c r="D17" s="15" t="s">
        <v>37</v>
      </c>
      <c r="E17" s="16" t="s">
        <v>91</v>
      </c>
      <c r="F17" s="15" t="s">
        <v>139</v>
      </c>
      <c r="G17" s="16" t="s">
        <v>176</v>
      </c>
      <c r="H17" s="15" t="s">
        <v>213</v>
      </c>
      <c r="I17" s="16" t="s">
        <v>243</v>
      </c>
      <c r="J17" s="15">
        <v>1</v>
      </c>
      <c r="K17" s="15"/>
    </row>
    <row r="18" spans="1:11" ht="15.75" thickBot="1" x14ac:dyDescent="0.3">
      <c r="A18" s="1"/>
      <c r="B18" s="23">
        <f t="shared" si="0"/>
        <v>16</v>
      </c>
      <c r="C18" s="25" t="s">
        <v>5</v>
      </c>
      <c r="D18" s="17" t="s">
        <v>38</v>
      </c>
      <c r="E18" s="18" t="s">
        <v>92</v>
      </c>
      <c r="F18" s="17" t="s">
        <v>140</v>
      </c>
      <c r="G18" s="18" t="s">
        <v>177</v>
      </c>
      <c r="H18" s="17" t="s">
        <v>213</v>
      </c>
      <c r="I18" s="18" t="s">
        <v>243</v>
      </c>
      <c r="J18" s="17">
        <v>4</v>
      </c>
      <c r="K18" s="17"/>
    </row>
    <row r="19" spans="1:11" ht="24.75" thickBot="1" x14ac:dyDescent="0.3">
      <c r="A19" s="1"/>
      <c r="B19" s="23">
        <f>ROW(B19) - ROW($B$2)</f>
        <v>17</v>
      </c>
      <c r="C19" s="24" t="s">
        <v>261</v>
      </c>
      <c r="D19" s="15" t="s">
        <v>39</v>
      </c>
      <c r="E19" s="16" t="s">
        <v>93</v>
      </c>
      <c r="F19" s="15" t="s">
        <v>264</v>
      </c>
      <c r="G19" s="16" t="s">
        <v>178</v>
      </c>
      <c r="H19" s="15" t="s">
        <v>214</v>
      </c>
      <c r="I19" s="16" t="s">
        <v>259</v>
      </c>
      <c r="J19" s="15">
        <v>1</v>
      </c>
      <c r="K19" s="15"/>
    </row>
    <row r="20" spans="1:11" ht="36.75" thickBot="1" x14ac:dyDescent="0.3">
      <c r="A20" s="1"/>
      <c r="B20" s="23">
        <f t="shared" si="0"/>
        <v>18</v>
      </c>
      <c r="C20" s="25" t="s">
        <v>6</v>
      </c>
      <c r="D20" s="17" t="s">
        <v>40</v>
      </c>
      <c r="E20" s="18" t="s">
        <v>94</v>
      </c>
      <c r="F20" s="15" t="s">
        <v>264</v>
      </c>
      <c r="G20" s="18" t="s">
        <v>141</v>
      </c>
      <c r="H20" s="17" t="s">
        <v>215</v>
      </c>
      <c r="I20" s="18" t="s">
        <v>259</v>
      </c>
      <c r="J20" s="17">
        <v>1</v>
      </c>
      <c r="K20" s="17"/>
    </row>
    <row r="21" spans="1:11" ht="36.75" thickBot="1" x14ac:dyDescent="0.3">
      <c r="A21" s="1"/>
      <c r="B21" s="23">
        <f>ROW(B21) - ROW($B$2)</f>
        <v>19</v>
      </c>
      <c r="C21" s="24" t="s">
        <v>7</v>
      </c>
      <c r="D21" s="15" t="s">
        <v>41</v>
      </c>
      <c r="E21" s="16" t="s">
        <v>95</v>
      </c>
      <c r="F21" s="15" t="s">
        <v>264</v>
      </c>
      <c r="G21" s="16" t="s">
        <v>179</v>
      </c>
      <c r="H21" s="15" t="s">
        <v>216</v>
      </c>
      <c r="I21" s="16" t="s">
        <v>259</v>
      </c>
      <c r="J21" s="15">
        <v>1</v>
      </c>
      <c r="K21" s="15"/>
    </row>
    <row r="22" spans="1:11" ht="15.75" thickBot="1" x14ac:dyDescent="0.3">
      <c r="A22" s="1"/>
      <c r="B22" s="23">
        <f t="shared" si="0"/>
        <v>20</v>
      </c>
      <c r="C22" s="25" t="s">
        <v>8</v>
      </c>
      <c r="D22" s="17" t="s">
        <v>42</v>
      </c>
      <c r="E22" s="18" t="s">
        <v>96</v>
      </c>
      <c r="F22" s="15" t="s">
        <v>264</v>
      </c>
      <c r="G22" s="18" t="s">
        <v>180</v>
      </c>
      <c r="H22" s="17" t="s">
        <v>217</v>
      </c>
      <c r="I22" s="18" t="s">
        <v>259</v>
      </c>
      <c r="J22" s="17">
        <v>1</v>
      </c>
      <c r="K22" s="17"/>
    </row>
    <row r="23" spans="1:11" ht="15.75" thickBot="1" x14ac:dyDescent="0.3">
      <c r="A23" s="1"/>
      <c r="B23" s="23">
        <f>ROW(B23) - ROW($B$2)</f>
        <v>21</v>
      </c>
      <c r="C23" s="24" t="s">
        <v>9</v>
      </c>
      <c r="D23" s="15" t="s">
        <v>43</v>
      </c>
      <c r="E23" s="16" t="s">
        <v>97</v>
      </c>
      <c r="F23" s="15" t="s">
        <v>264</v>
      </c>
      <c r="G23" s="16" t="s">
        <v>142</v>
      </c>
      <c r="H23" s="15" t="s">
        <v>218</v>
      </c>
      <c r="I23" s="16" t="s">
        <v>259</v>
      </c>
      <c r="J23" s="15">
        <v>1</v>
      </c>
      <c r="K23" s="15"/>
    </row>
    <row r="24" spans="1:11" ht="15.75" thickBot="1" x14ac:dyDescent="0.3">
      <c r="A24" s="1"/>
      <c r="B24" s="23">
        <f t="shared" si="0"/>
        <v>22</v>
      </c>
      <c r="C24" s="25" t="s">
        <v>262</v>
      </c>
      <c r="D24" s="17" t="s">
        <v>44</v>
      </c>
      <c r="E24" s="18" t="s">
        <v>98</v>
      </c>
      <c r="F24" s="15" t="s">
        <v>264</v>
      </c>
      <c r="G24" s="18" t="s">
        <v>259</v>
      </c>
      <c r="H24" s="17"/>
      <c r="I24" s="18" t="s">
        <v>259</v>
      </c>
      <c r="J24" s="17">
        <v>1</v>
      </c>
      <c r="K24" s="17"/>
    </row>
    <row r="25" spans="1:11" ht="15.75" thickBot="1" x14ac:dyDescent="0.3">
      <c r="A25" s="1"/>
      <c r="B25" s="23">
        <f>ROW(B25) - ROW($B$2)</f>
        <v>23</v>
      </c>
      <c r="C25" s="24" t="s">
        <v>262</v>
      </c>
      <c r="D25" s="15" t="s">
        <v>45</v>
      </c>
      <c r="E25" s="16" t="s">
        <v>98</v>
      </c>
      <c r="F25" s="15" t="s">
        <v>264</v>
      </c>
      <c r="G25" s="16" t="s">
        <v>259</v>
      </c>
      <c r="H25" s="15"/>
      <c r="I25" s="16" t="s">
        <v>259</v>
      </c>
      <c r="J25" s="15">
        <v>1</v>
      </c>
      <c r="K25" s="15"/>
    </row>
    <row r="26" spans="1:11" ht="24.75" thickBot="1" x14ac:dyDescent="0.3">
      <c r="A26" s="1"/>
      <c r="B26" s="23">
        <f t="shared" si="0"/>
        <v>24</v>
      </c>
      <c r="C26" s="25" t="s">
        <v>10</v>
      </c>
      <c r="D26" s="17" t="s">
        <v>46</v>
      </c>
      <c r="E26" s="18" t="s">
        <v>99</v>
      </c>
      <c r="F26" s="15" t="s">
        <v>264</v>
      </c>
      <c r="G26" s="18" t="s">
        <v>143</v>
      </c>
      <c r="H26" s="17" t="s">
        <v>219</v>
      </c>
      <c r="I26" s="18" t="s">
        <v>259</v>
      </c>
      <c r="J26" s="17">
        <v>7</v>
      </c>
      <c r="K26" s="17"/>
    </row>
    <row r="27" spans="1:11" ht="15.75" thickBot="1" x14ac:dyDescent="0.3">
      <c r="A27" s="1"/>
      <c r="B27" s="23">
        <f>ROW(B27) - ROW($B$2)</f>
        <v>25</v>
      </c>
      <c r="C27" s="24" t="s">
        <v>11</v>
      </c>
      <c r="D27" s="15" t="s">
        <v>47</v>
      </c>
      <c r="E27" s="16" t="s">
        <v>100</v>
      </c>
      <c r="F27" s="15" t="s">
        <v>144</v>
      </c>
      <c r="G27" s="16" t="s">
        <v>181</v>
      </c>
      <c r="H27" s="15" t="s">
        <v>220</v>
      </c>
      <c r="I27" s="16" t="s">
        <v>244</v>
      </c>
      <c r="J27" s="15">
        <v>1</v>
      </c>
      <c r="K27" s="15"/>
    </row>
    <row r="28" spans="1:11" ht="24.75" thickBot="1" x14ac:dyDescent="0.3">
      <c r="A28" s="1"/>
      <c r="B28" s="23">
        <f t="shared" si="0"/>
        <v>26</v>
      </c>
      <c r="C28" s="25" t="s">
        <v>12</v>
      </c>
      <c r="D28" s="17" t="s">
        <v>48</v>
      </c>
      <c r="E28" s="18" t="s">
        <v>101</v>
      </c>
      <c r="F28" s="17" t="s">
        <v>145</v>
      </c>
      <c r="G28" s="18" t="s">
        <v>182</v>
      </c>
      <c r="H28" s="17" t="s">
        <v>221</v>
      </c>
      <c r="I28" s="16" t="s">
        <v>259</v>
      </c>
      <c r="J28" s="17">
        <v>1</v>
      </c>
      <c r="K28" s="17"/>
    </row>
    <row r="29" spans="1:11" ht="24.75" thickBot="1" x14ac:dyDescent="0.3">
      <c r="A29" s="1"/>
      <c r="B29" s="23">
        <f>ROW(B29) - ROW($B$2)</f>
        <v>27</v>
      </c>
      <c r="C29" s="24" t="s">
        <v>12</v>
      </c>
      <c r="D29" s="15" t="s">
        <v>49</v>
      </c>
      <c r="E29" s="16" t="s">
        <v>102</v>
      </c>
      <c r="F29" s="15" t="s">
        <v>145</v>
      </c>
      <c r="G29" s="16" t="s">
        <v>183</v>
      </c>
      <c r="H29" s="15" t="s">
        <v>221</v>
      </c>
      <c r="I29" s="18" t="s">
        <v>259</v>
      </c>
      <c r="J29" s="15">
        <v>1</v>
      </c>
      <c r="K29" s="15"/>
    </row>
    <row r="30" spans="1:11" ht="24.75" thickBot="1" x14ac:dyDescent="0.3">
      <c r="A30" s="1"/>
      <c r="B30" s="23">
        <f t="shared" si="0"/>
        <v>28</v>
      </c>
      <c r="C30" s="25" t="s">
        <v>13</v>
      </c>
      <c r="D30" s="17" t="s">
        <v>50</v>
      </c>
      <c r="E30" s="18" t="s">
        <v>103</v>
      </c>
      <c r="F30" s="17" t="s">
        <v>264</v>
      </c>
      <c r="G30" s="18" t="s">
        <v>146</v>
      </c>
      <c r="H30" s="17" t="s">
        <v>222</v>
      </c>
      <c r="I30" s="16" t="s">
        <v>259</v>
      </c>
      <c r="J30" s="17">
        <v>4</v>
      </c>
      <c r="K30" s="17"/>
    </row>
    <row r="31" spans="1:11" ht="36.75" thickBot="1" x14ac:dyDescent="0.3">
      <c r="A31" s="1"/>
      <c r="B31" s="23">
        <f>ROW(B31) - ROW($B$2)</f>
        <v>29</v>
      </c>
      <c r="C31" s="26" t="s">
        <v>263</v>
      </c>
      <c r="D31" s="27" t="s">
        <v>51</v>
      </c>
      <c r="E31" s="28" t="s">
        <v>104</v>
      </c>
      <c r="F31" s="27" t="s">
        <v>264</v>
      </c>
      <c r="G31" s="27" t="s">
        <v>147</v>
      </c>
      <c r="H31" s="27"/>
      <c r="I31" s="29" t="s">
        <v>259</v>
      </c>
      <c r="J31" s="27">
        <v>25</v>
      </c>
      <c r="K31" s="15"/>
    </row>
    <row r="32" spans="1:11" ht="15.75" thickBot="1" x14ac:dyDescent="0.3">
      <c r="A32" s="1"/>
      <c r="B32" s="23">
        <f t="shared" si="0"/>
        <v>30</v>
      </c>
      <c r="C32" s="25" t="s">
        <v>14</v>
      </c>
      <c r="D32" s="17" t="s">
        <v>52</v>
      </c>
      <c r="E32" s="18" t="s">
        <v>105</v>
      </c>
      <c r="F32" s="17" t="s">
        <v>148</v>
      </c>
      <c r="G32" s="18" t="s">
        <v>184</v>
      </c>
      <c r="H32" s="17" t="s">
        <v>223</v>
      </c>
      <c r="I32" s="18" t="s">
        <v>259</v>
      </c>
      <c r="J32" s="17">
        <v>5</v>
      </c>
      <c r="K32" s="17"/>
    </row>
    <row r="33" spans="1:11" ht="15.75" thickBot="1" x14ac:dyDescent="0.3">
      <c r="A33" s="1"/>
      <c r="B33" s="23">
        <f>ROW(B33) - ROW($B$2)</f>
        <v>31</v>
      </c>
      <c r="C33" s="24" t="s">
        <v>15</v>
      </c>
      <c r="D33" s="15" t="s">
        <v>53</v>
      </c>
      <c r="E33" s="16" t="s">
        <v>106</v>
      </c>
      <c r="F33" s="15" t="s">
        <v>149</v>
      </c>
      <c r="G33" s="16" t="s">
        <v>185</v>
      </c>
      <c r="H33" s="15" t="s">
        <v>207</v>
      </c>
      <c r="I33" s="16" t="s">
        <v>245</v>
      </c>
      <c r="J33" s="15">
        <v>1</v>
      </c>
      <c r="K33" s="15"/>
    </row>
    <row r="34" spans="1:11" ht="15.75" thickBot="1" x14ac:dyDescent="0.3">
      <c r="A34" s="1"/>
      <c r="B34" s="23">
        <f t="shared" si="0"/>
        <v>32</v>
      </c>
      <c r="C34" s="25" t="s">
        <v>15</v>
      </c>
      <c r="D34" s="17" t="s">
        <v>54</v>
      </c>
      <c r="E34" s="18" t="s">
        <v>107</v>
      </c>
      <c r="F34" s="17" t="s">
        <v>150</v>
      </c>
      <c r="G34" s="18" t="s">
        <v>186</v>
      </c>
      <c r="H34" s="17" t="s">
        <v>207</v>
      </c>
      <c r="I34" s="18" t="s">
        <v>246</v>
      </c>
      <c r="J34" s="17">
        <v>2</v>
      </c>
      <c r="K34" s="17"/>
    </row>
    <row r="35" spans="1:11" ht="24.75" thickBot="1" x14ac:dyDescent="0.3">
      <c r="A35" s="1"/>
      <c r="B35" s="23">
        <f>ROW(B35) - ROW($B$2)</f>
        <v>33</v>
      </c>
      <c r="C35" s="25" t="s">
        <v>15</v>
      </c>
      <c r="D35" s="15" t="s">
        <v>55</v>
      </c>
      <c r="E35" s="16" t="s">
        <v>108</v>
      </c>
      <c r="F35" s="15" t="s">
        <v>150</v>
      </c>
      <c r="G35" s="16" t="s">
        <v>187</v>
      </c>
      <c r="H35" s="15" t="s">
        <v>207</v>
      </c>
      <c r="I35" s="16" t="s">
        <v>247</v>
      </c>
      <c r="J35" s="15">
        <v>12</v>
      </c>
      <c r="K35" s="15"/>
    </row>
    <row r="36" spans="1:11" ht="15.75" thickBot="1" x14ac:dyDescent="0.3">
      <c r="A36" s="1"/>
      <c r="B36" s="23">
        <f t="shared" si="0"/>
        <v>34</v>
      </c>
      <c r="C36" s="25" t="s">
        <v>15</v>
      </c>
      <c r="D36" s="17" t="s">
        <v>56</v>
      </c>
      <c r="E36" s="18" t="s">
        <v>109</v>
      </c>
      <c r="F36" s="17" t="s">
        <v>150</v>
      </c>
      <c r="G36" s="18" t="s">
        <v>188</v>
      </c>
      <c r="H36" s="17" t="s">
        <v>207</v>
      </c>
      <c r="I36" s="18" t="s">
        <v>248</v>
      </c>
      <c r="J36" s="17">
        <v>1</v>
      </c>
      <c r="K36" s="17"/>
    </row>
    <row r="37" spans="1:11" ht="36.75" thickBot="1" x14ac:dyDescent="0.3">
      <c r="A37" s="1"/>
      <c r="B37" s="23">
        <f>ROW(B37) - ROW($B$2)</f>
        <v>35</v>
      </c>
      <c r="C37" s="25" t="s">
        <v>15</v>
      </c>
      <c r="D37" s="15" t="s">
        <v>57</v>
      </c>
      <c r="E37" s="16" t="s">
        <v>110</v>
      </c>
      <c r="F37" s="15" t="s">
        <v>150</v>
      </c>
      <c r="G37" s="16" t="s">
        <v>189</v>
      </c>
      <c r="H37" s="15" t="s">
        <v>207</v>
      </c>
      <c r="I37" s="16" t="s">
        <v>249</v>
      </c>
      <c r="J37" s="15">
        <v>7</v>
      </c>
      <c r="K37" s="15"/>
    </row>
    <row r="38" spans="1:11" ht="36.75" thickBot="1" x14ac:dyDescent="0.3">
      <c r="A38" s="1"/>
      <c r="B38" s="23">
        <f t="shared" si="0"/>
        <v>36</v>
      </c>
      <c r="C38" s="25" t="s">
        <v>15</v>
      </c>
      <c r="D38" s="17" t="s">
        <v>58</v>
      </c>
      <c r="E38" s="18" t="s">
        <v>111</v>
      </c>
      <c r="F38" s="17" t="s">
        <v>150</v>
      </c>
      <c r="G38" s="18" t="s">
        <v>190</v>
      </c>
      <c r="H38" s="17" t="s">
        <v>207</v>
      </c>
      <c r="I38" s="18" t="s">
        <v>250</v>
      </c>
      <c r="J38" s="17">
        <v>7</v>
      </c>
      <c r="K38" s="17"/>
    </row>
    <row r="39" spans="1:11" ht="15.75" thickBot="1" x14ac:dyDescent="0.3">
      <c r="A39" s="1"/>
      <c r="B39" s="23">
        <f>ROW(B39) - ROW($B$2)</f>
        <v>37</v>
      </c>
      <c r="C39" s="25" t="s">
        <v>15</v>
      </c>
      <c r="D39" s="15" t="s">
        <v>59</v>
      </c>
      <c r="E39" s="16" t="s">
        <v>112</v>
      </c>
      <c r="F39" s="15" t="s">
        <v>150</v>
      </c>
      <c r="G39" s="16" t="s">
        <v>191</v>
      </c>
      <c r="H39" s="15" t="s">
        <v>207</v>
      </c>
      <c r="I39" s="16" t="s">
        <v>251</v>
      </c>
      <c r="J39" s="15">
        <v>1</v>
      </c>
      <c r="K39" s="15"/>
    </row>
    <row r="40" spans="1:11" ht="15.75" thickBot="1" x14ac:dyDescent="0.3">
      <c r="A40" s="1"/>
      <c r="B40" s="23">
        <f t="shared" si="0"/>
        <v>38</v>
      </c>
      <c r="C40" s="25" t="s">
        <v>15</v>
      </c>
      <c r="D40" s="17" t="s">
        <v>60</v>
      </c>
      <c r="E40" s="18" t="s">
        <v>113</v>
      </c>
      <c r="F40" s="17" t="s">
        <v>150</v>
      </c>
      <c r="G40" s="18" t="s">
        <v>192</v>
      </c>
      <c r="H40" s="17" t="s">
        <v>207</v>
      </c>
      <c r="I40" s="18" t="s">
        <v>252</v>
      </c>
      <c r="J40" s="17">
        <v>2</v>
      </c>
      <c r="K40" s="17"/>
    </row>
    <row r="41" spans="1:11" ht="15.75" thickBot="1" x14ac:dyDescent="0.3">
      <c r="A41" s="1"/>
      <c r="B41" s="23">
        <f>ROW(B41) - ROW($B$2)</f>
        <v>39</v>
      </c>
      <c r="C41" s="24" t="s">
        <v>15</v>
      </c>
      <c r="D41" s="15" t="s">
        <v>61</v>
      </c>
      <c r="E41" s="16" t="s">
        <v>114</v>
      </c>
      <c r="F41" s="15" t="s">
        <v>150</v>
      </c>
      <c r="G41" s="16" t="s">
        <v>193</v>
      </c>
      <c r="H41" s="15" t="s">
        <v>207</v>
      </c>
      <c r="I41" s="16" t="s">
        <v>253</v>
      </c>
      <c r="J41" s="15">
        <v>2</v>
      </c>
      <c r="K41" s="15"/>
    </row>
    <row r="42" spans="1:11" ht="15.75" thickBot="1" x14ac:dyDescent="0.3">
      <c r="A42" s="1"/>
      <c r="B42" s="23">
        <f t="shared" si="0"/>
        <v>40</v>
      </c>
      <c r="C42" s="25" t="s">
        <v>15</v>
      </c>
      <c r="D42" s="17" t="s">
        <v>62</v>
      </c>
      <c r="E42" s="18" t="s">
        <v>115</v>
      </c>
      <c r="F42" s="17" t="s">
        <v>150</v>
      </c>
      <c r="G42" s="18" t="s">
        <v>194</v>
      </c>
      <c r="H42" s="17" t="s">
        <v>207</v>
      </c>
      <c r="I42" s="18" t="s">
        <v>254</v>
      </c>
      <c r="J42" s="17">
        <v>3</v>
      </c>
      <c r="K42" s="17"/>
    </row>
    <row r="43" spans="1:11" ht="15.75" thickBot="1" x14ac:dyDescent="0.3">
      <c r="A43" s="1"/>
      <c r="B43" s="23">
        <f>ROW(B43) - ROW($B$2)</f>
        <v>41</v>
      </c>
      <c r="C43" s="25" t="s">
        <v>15</v>
      </c>
      <c r="D43" s="15" t="s">
        <v>63</v>
      </c>
      <c r="E43" s="16" t="s">
        <v>116</v>
      </c>
      <c r="F43" s="15" t="s">
        <v>150</v>
      </c>
      <c r="G43" s="16" t="s">
        <v>195</v>
      </c>
      <c r="H43" s="15" t="s">
        <v>207</v>
      </c>
      <c r="I43" s="16" t="s">
        <v>255</v>
      </c>
      <c r="J43" s="15">
        <v>6</v>
      </c>
      <c r="K43" s="15"/>
    </row>
    <row r="44" spans="1:11" ht="36.75" thickBot="1" x14ac:dyDescent="0.3">
      <c r="A44" s="1"/>
      <c r="B44" s="23">
        <f t="shared" si="0"/>
        <v>42</v>
      </c>
      <c r="C44" s="25" t="s">
        <v>16</v>
      </c>
      <c r="D44" s="17" t="s">
        <v>64</v>
      </c>
      <c r="E44" s="18" t="s">
        <v>117</v>
      </c>
      <c r="F44" s="17" t="s">
        <v>264</v>
      </c>
      <c r="G44" s="18" t="s">
        <v>151</v>
      </c>
      <c r="H44" s="17" t="s">
        <v>224</v>
      </c>
      <c r="I44" s="16" t="s">
        <v>259</v>
      </c>
      <c r="J44" s="17">
        <v>7</v>
      </c>
      <c r="K44" s="17"/>
    </row>
    <row r="45" spans="1:11" ht="60.75" thickBot="1" x14ac:dyDescent="0.3">
      <c r="A45" s="1"/>
      <c r="B45" s="23">
        <f>ROW(B45) - ROW($B$2)</f>
        <v>43</v>
      </c>
      <c r="C45" s="24" t="s">
        <v>17</v>
      </c>
      <c r="D45" s="15" t="s">
        <v>65</v>
      </c>
      <c r="E45" s="16" t="s">
        <v>118</v>
      </c>
      <c r="F45" s="15" t="s">
        <v>264</v>
      </c>
      <c r="G45" s="16" t="s">
        <v>152</v>
      </c>
      <c r="H45" s="15" t="s">
        <v>225</v>
      </c>
      <c r="I45" s="18" t="s">
        <v>259</v>
      </c>
      <c r="J45" s="15">
        <v>1</v>
      </c>
      <c r="K45" s="15"/>
    </row>
    <row r="46" spans="1:11" ht="24.75" thickBot="1" x14ac:dyDescent="0.3">
      <c r="A46" s="1"/>
      <c r="B46" s="23">
        <f t="shared" si="0"/>
        <v>44</v>
      </c>
      <c r="C46" s="25" t="s">
        <v>18</v>
      </c>
      <c r="D46" s="17" t="s">
        <v>66</v>
      </c>
      <c r="E46" s="18" t="s">
        <v>119</v>
      </c>
      <c r="F46" s="17" t="s">
        <v>153</v>
      </c>
      <c r="G46" s="18" t="s">
        <v>196</v>
      </c>
      <c r="H46" s="17" t="s">
        <v>226</v>
      </c>
      <c r="I46" s="16" t="s">
        <v>259</v>
      </c>
      <c r="J46" s="17">
        <v>1</v>
      </c>
      <c r="K46" s="17"/>
    </row>
    <row r="47" spans="1:11" ht="48.75" thickBot="1" x14ac:dyDescent="0.3">
      <c r="A47" s="1"/>
      <c r="B47" s="23">
        <f>ROW(B47) - ROW($B$2)</f>
        <v>45</v>
      </c>
      <c r="C47" s="24" t="s">
        <v>18</v>
      </c>
      <c r="D47" s="15" t="s">
        <v>67</v>
      </c>
      <c r="E47" s="16" t="s">
        <v>120</v>
      </c>
      <c r="F47" s="15" t="s">
        <v>154</v>
      </c>
      <c r="G47" s="16" t="s">
        <v>197</v>
      </c>
      <c r="H47" s="15" t="s">
        <v>227</v>
      </c>
      <c r="I47" s="18" t="s">
        <v>259</v>
      </c>
      <c r="J47" s="15">
        <v>1</v>
      </c>
      <c r="K47" s="15"/>
    </row>
    <row r="48" spans="1:11" ht="48.75" thickBot="1" x14ac:dyDescent="0.3">
      <c r="A48" s="1"/>
      <c r="B48" s="23">
        <f t="shared" si="0"/>
        <v>46</v>
      </c>
      <c r="C48" s="25" t="s">
        <v>18</v>
      </c>
      <c r="D48" s="17" t="s">
        <v>68</v>
      </c>
      <c r="E48" s="18" t="s">
        <v>121</v>
      </c>
      <c r="F48" s="17" t="s">
        <v>153</v>
      </c>
      <c r="G48" s="18" t="s">
        <v>198</v>
      </c>
      <c r="H48" s="17" t="s">
        <v>228</v>
      </c>
      <c r="I48" s="18" t="s">
        <v>259</v>
      </c>
      <c r="J48" s="17">
        <v>1</v>
      </c>
      <c r="K48" s="17"/>
    </row>
    <row r="49" spans="1:11" ht="15.75" thickBot="1" x14ac:dyDescent="0.3">
      <c r="A49" s="1"/>
      <c r="B49" s="23">
        <f>ROW(B49) - ROW($B$2)</f>
        <v>47</v>
      </c>
      <c r="C49" s="24" t="s">
        <v>19</v>
      </c>
      <c r="D49" s="15" t="s">
        <v>69</v>
      </c>
      <c r="E49" s="16" t="s">
        <v>122</v>
      </c>
      <c r="F49" s="15" t="s">
        <v>155</v>
      </c>
      <c r="G49" s="16" t="s">
        <v>155</v>
      </c>
      <c r="H49" s="15" t="s">
        <v>229</v>
      </c>
      <c r="I49" s="16" t="s">
        <v>259</v>
      </c>
      <c r="J49" s="15">
        <v>1</v>
      </c>
      <c r="K49" s="15"/>
    </row>
    <row r="50" spans="1:11" ht="15.75" thickBot="1" x14ac:dyDescent="0.3">
      <c r="A50" s="1"/>
      <c r="B50" s="23">
        <f t="shared" si="0"/>
        <v>48</v>
      </c>
      <c r="C50" s="25" t="s">
        <v>18</v>
      </c>
      <c r="D50" s="17" t="s">
        <v>70</v>
      </c>
      <c r="E50" s="18" t="s">
        <v>123</v>
      </c>
      <c r="F50" s="17" t="s">
        <v>156</v>
      </c>
      <c r="G50" s="18" t="s">
        <v>199</v>
      </c>
      <c r="H50" s="17" t="s">
        <v>230</v>
      </c>
      <c r="I50" s="18" t="s">
        <v>259</v>
      </c>
      <c r="J50" s="17">
        <v>3</v>
      </c>
      <c r="K50" s="17"/>
    </row>
    <row r="51" spans="1:11" ht="15.75" thickBot="1" x14ac:dyDescent="0.3">
      <c r="A51" s="1"/>
      <c r="B51" s="23">
        <f>ROW(B51) - ROW($B$2)</f>
        <v>49</v>
      </c>
      <c r="C51" s="24" t="s">
        <v>18</v>
      </c>
      <c r="D51" s="15" t="s">
        <v>71</v>
      </c>
      <c r="E51" s="16" t="s">
        <v>124</v>
      </c>
      <c r="F51" s="15" t="s">
        <v>157</v>
      </c>
      <c r="G51" s="16" t="s">
        <v>200</v>
      </c>
      <c r="H51" s="15" t="s">
        <v>231</v>
      </c>
      <c r="I51" s="16" t="s">
        <v>259</v>
      </c>
      <c r="J51" s="15">
        <v>3</v>
      </c>
      <c r="K51" s="15"/>
    </row>
    <row r="52" spans="1:11" ht="60.75" thickBot="1" x14ac:dyDescent="0.3">
      <c r="A52" s="1"/>
      <c r="B52" s="23">
        <f t="shared" si="0"/>
        <v>50</v>
      </c>
      <c r="C52" s="25" t="s">
        <v>18</v>
      </c>
      <c r="D52" s="17" t="s">
        <v>72</v>
      </c>
      <c r="E52" s="18" t="s">
        <v>125</v>
      </c>
      <c r="F52" s="17" t="s">
        <v>158</v>
      </c>
      <c r="G52" s="18" t="s">
        <v>201</v>
      </c>
      <c r="H52" s="17" t="s">
        <v>232</v>
      </c>
      <c r="I52" s="18" t="s">
        <v>259</v>
      </c>
      <c r="J52" s="17">
        <v>2</v>
      </c>
      <c r="K52" s="17"/>
    </row>
    <row r="53" spans="1:11" ht="72.75" thickBot="1" x14ac:dyDescent="0.3">
      <c r="A53" s="1"/>
      <c r="B53" s="23">
        <f>ROW(B53) - ROW($B$2)</f>
        <v>51</v>
      </c>
      <c r="C53" s="24" t="s">
        <v>20</v>
      </c>
      <c r="D53" s="15" t="s">
        <v>73</v>
      </c>
      <c r="E53" s="16" t="s">
        <v>126</v>
      </c>
      <c r="F53" s="15" t="s">
        <v>159</v>
      </c>
      <c r="G53" s="16" t="s">
        <v>202</v>
      </c>
      <c r="H53" s="15" t="s">
        <v>233</v>
      </c>
      <c r="I53" s="18" t="s">
        <v>259</v>
      </c>
      <c r="J53" s="15">
        <v>7</v>
      </c>
      <c r="K53" s="15"/>
    </row>
    <row r="54" spans="1:11" ht="15.75" thickBot="1" x14ac:dyDescent="0.3">
      <c r="A54" s="1"/>
      <c r="B54" s="23">
        <f t="shared" si="0"/>
        <v>52</v>
      </c>
      <c r="C54" s="25" t="s">
        <v>18</v>
      </c>
      <c r="D54" s="17" t="s">
        <v>74</v>
      </c>
      <c r="E54" s="18" t="s">
        <v>127</v>
      </c>
      <c r="F54" s="17" t="s">
        <v>160</v>
      </c>
      <c r="G54" s="18" t="s">
        <v>203</v>
      </c>
      <c r="H54" s="17" t="s">
        <v>231</v>
      </c>
      <c r="I54" s="18" t="s">
        <v>259</v>
      </c>
      <c r="J54" s="17">
        <v>1</v>
      </c>
      <c r="K54" s="17"/>
    </row>
    <row r="55" spans="1:11" ht="15.75" thickBot="1" x14ac:dyDescent="0.3">
      <c r="A55" s="1"/>
      <c r="B55" s="23">
        <f>ROW(B55) - ROW($B$2)</f>
        <v>53</v>
      </c>
      <c r="C55" s="24" t="s">
        <v>21</v>
      </c>
      <c r="D55" s="15" t="s">
        <v>75</v>
      </c>
      <c r="E55" s="16" t="s">
        <v>128</v>
      </c>
      <c r="F55" s="15" t="s">
        <v>161</v>
      </c>
      <c r="G55" s="16" t="s">
        <v>204</v>
      </c>
      <c r="H55" s="15" t="s">
        <v>234</v>
      </c>
      <c r="I55" s="16" t="s">
        <v>259</v>
      </c>
      <c r="J55" s="15">
        <v>1</v>
      </c>
      <c r="K55" s="15"/>
    </row>
    <row r="56" spans="1:11" ht="15.75" thickBot="1" x14ac:dyDescent="0.3">
      <c r="A56" s="1"/>
      <c r="B56" s="23">
        <f t="shared" ref="B56:B58" si="1">ROW(B56) - ROW($B$2)</f>
        <v>54</v>
      </c>
      <c r="C56" s="24" t="s">
        <v>265</v>
      </c>
      <c r="D56" s="15" t="s">
        <v>259</v>
      </c>
      <c r="E56" s="16"/>
      <c r="F56" s="15"/>
      <c r="G56" s="16" t="s">
        <v>266</v>
      </c>
      <c r="H56" s="15"/>
      <c r="I56" s="16"/>
      <c r="J56" s="15">
        <v>1</v>
      </c>
      <c r="K56" s="15"/>
    </row>
    <row r="57" spans="1:11" ht="15.75" thickBot="1" x14ac:dyDescent="0.3">
      <c r="A57" s="1"/>
      <c r="B57" s="23">
        <f t="shared" si="1"/>
        <v>55</v>
      </c>
      <c r="C57" s="24" t="s">
        <v>265</v>
      </c>
      <c r="D57" s="15" t="s">
        <v>259</v>
      </c>
      <c r="E57" s="16"/>
      <c r="F57" s="15"/>
      <c r="G57" s="16" t="s">
        <v>267</v>
      </c>
      <c r="H57" s="15"/>
      <c r="I57" s="16"/>
      <c r="J57" s="15">
        <v>2</v>
      </c>
      <c r="K57" s="15"/>
    </row>
    <row r="58" spans="1:11" ht="15.75" thickBot="1" x14ac:dyDescent="0.3">
      <c r="A58" s="1"/>
      <c r="B58" s="23">
        <f t="shared" si="1"/>
        <v>56</v>
      </c>
      <c r="C58" s="24" t="s">
        <v>265</v>
      </c>
      <c r="D58" s="15" t="s">
        <v>259</v>
      </c>
      <c r="E58" s="16" t="s">
        <v>269</v>
      </c>
      <c r="F58" s="15" t="s">
        <v>259</v>
      </c>
      <c r="G58" s="16" t="s">
        <v>268</v>
      </c>
      <c r="H58" s="15" t="s">
        <v>270</v>
      </c>
      <c r="I58" s="16" t="s">
        <v>259</v>
      </c>
      <c r="J58" s="15">
        <v>1</v>
      </c>
      <c r="K58" s="30"/>
    </row>
    <row r="59" spans="1:11" x14ac:dyDescent="0.25">
      <c r="A59" s="1"/>
      <c r="B59" s="10"/>
      <c r="C59" s="21"/>
      <c r="D59" s="11"/>
      <c r="E59" s="12"/>
      <c r="F59" s="13"/>
      <c r="G59" s="14"/>
      <c r="H59" s="13"/>
      <c r="I59" s="14"/>
      <c r="J59" s="14"/>
      <c r="K59" s="19"/>
    </row>
    <row r="60" spans="1:11" ht="15.75" thickBot="1" x14ac:dyDescent="0.3">
      <c r="A60" s="1"/>
      <c r="B60" s="6"/>
      <c r="C60" s="22"/>
      <c r="D60" s="3"/>
      <c r="E60" s="4"/>
      <c r="F60" s="4"/>
      <c r="G60" s="4"/>
      <c r="H60" s="4"/>
      <c r="I60" s="4"/>
      <c r="J60" s="4"/>
      <c r="K60" s="20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2023-07-26T11:20:44Z</dcterms:modified>
</cp:coreProperties>
</file>